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ml.chartshapes+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1.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ml.chartshapes+xml"/>
  <Override PartName="/xl/pivotTables/pivotTable11.xml" ContentType="application/vnd.openxmlformats-officedocument.spreadsheetml.pivotTable+xml"/>
  <Override PartName="/xl/drawings/drawing13.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4.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5.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6.xml" ContentType="application/vnd.openxmlformats-officedocument.drawingml.chartshapes+xml"/>
  <Override PartName="/xl/tables/table2.xml" ContentType="application/vnd.openxmlformats-officedocument.spreadsheetml.table+xml"/>
  <Override PartName="/xl/drawings/drawing17.xml" ContentType="application/vnd.openxmlformats-officedocument.drawing+xml"/>
  <Override PartName="/xl/slicers/slicer4.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8.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NNAEMEKA IJEOMA\Documents\PROJECTS EXCEL\"/>
    </mc:Choice>
  </mc:AlternateContent>
  <bookViews>
    <workbookView xWindow="0" yWindow="0" windowWidth="19200" windowHeight="8890" tabRatio="767" firstSheet="4" activeTab="4"/>
  </bookViews>
  <sheets>
    <sheet name="Sheet2" sheetId="25" r:id="rId1"/>
    <sheet name="DEPARTMENT AND GENDER" sheetId="4" r:id="rId2"/>
    <sheet name="ATTRITION AND DISTANCE" sheetId="7" r:id="rId3"/>
    <sheet name="Sheet1" sheetId="10" state="hidden" r:id="rId4"/>
    <sheet name="DASHBOARD " sheetId="11" r:id="rId5"/>
    <sheet name="AGE RANGE" sheetId="19" state="hidden" r:id="rId6"/>
    <sheet name="INCOME" sheetId="21" state="hidden" r:id="rId7"/>
    <sheet name="JOB SATISFACTION1" sheetId="22" r:id="rId8"/>
    <sheet name="ENVIRONMENTAL SATISFACTION" sheetId="23" r:id="rId9"/>
    <sheet name="WA_Fn-UseC_-HR-Employee-Attriti" sheetId="1" r:id="rId10"/>
    <sheet name="draft" sheetId="3" r:id="rId11"/>
  </sheets>
  <definedNames>
    <definedName name="Slicer_Department">#N/A</definedName>
    <definedName name="Slicer_Department1">#N/A</definedName>
    <definedName name="Slicer_Department2">#N/A</definedName>
  </definedNames>
  <calcPr calcId="162913"/>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7" i="19" l="1"/>
  <c r="B16" i="19"/>
  <c r="B15" i="19"/>
  <c r="B14" i="19"/>
  <c r="B13" i="19"/>
  <c r="E10" i="19"/>
  <c r="E9" i="19"/>
  <c r="E8" i="19"/>
  <c r="E7" i="19"/>
  <c r="E6" i="19"/>
  <c r="E5" i="19"/>
  <c r="C45" i="4"/>
  <c r="C44" i="4"/>
  <c r="C43" i="4"/>
  <c r="C24" i="4"/>
  <c r="C23" i="4"/>
  <c r="C19" i="4"/>
  <c r="C18" i="4"/>
  <c r="D12" i="4"/>
  <c r="C12" i="4"/>
  <c r="D11" i="4"/>
  <c r="C11" i="4"/>
  <c r="D10" i="4"/>
  <c r="C10" i="4"/>
  <c r="D7" i="4"/>
  <c r="D6" i="4"/>
  <c r="C6" i="4"/>
  <c r="D5" i="4"/>
  <c r="C5" i="4"/>
  <c r="D4" i="4"/>
  <c r="C4" i="4"/>
</calcChain>
</file>

<file path=xl/sharedStrings.xml><?xml version="1.0" encoding="utf-8"?>
<sst xmlns="http://schemas.openxmlformats.org/spreadsheetml/2006/main" count="22091" uniqueCount="117">
  <si>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</si>
  <si>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</si>
  <si>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</si>
  <si>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</si>
  <si>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</si>
  <si>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</si>
  <si>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</si>
  <si>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</si>
  <si>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</si>
  <si>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</si>
  <si>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</si>
  <si>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</si>
  <si>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</si>
  <si>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</si>
  <si>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</si>
  <si>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</si>
  <si>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</si>
  <si>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</si>
  <si>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</si>
  <si>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</si>
  <si>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</si>
  <si>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</si>
  <si>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</si>
  <si>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</si>
  <si>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</si>
  <si>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</si>
  <si>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</si>
  <si>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</si>
  <si>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</si>
  <si>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</si>
  <si>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</si>
  <si>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</si>
  <si>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</si>
  <si>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</si>
  <si>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</si>
  <si>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</si>
  <si>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</si>
  <si>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</si>
  <si>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</si>
  <si>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</si>
  <si>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</si>
  <si>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</si>
  <si>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</si>
  <si>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</si>
  <si>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</si>
  <si>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</si>
  <si>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</si>
  <si>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</si>
  <si>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</si>
  <si>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</si>
  <si>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</si>
  <si>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</si>
  <si>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</si>
  <si>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</si>
  <si>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</si>
  <si>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</si>
  <si>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</si>
  <si>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</si>
  <si>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</si>
  <si>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</si>
  <si>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</si>
  <si>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</si>
  <si>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Grand Total</t>
  </si>
  <si>
    <t>Count of Attrition</t>
  </si>
  <si>
    <t>DEPARTMENTS</t>
  </si>
  <si>
    <t>NUMBER OF STAFF</t>
  </si>
  <si>
    <t>Count of Gender</t>
  </si>
  <si>
    <t>TOTAL GENDER EMPLOYEE</t>
  </si>
  <si>
    <t>GENDER BY ATTRITION</t>
  </si>
  <si>
    <t>PERCENTAGE ATTRITION</t>
  </si>
  <si>
    <t>DEPARTMENTS BY ATTRITION</t>
  </si>
  <si>
    <t>PERCENTAGE OF TOTAL WORKFORCE ATTRITION</t>
  </si>
  <si>
    <t>PERCENTAGE OF STAFF(TOTAL)</t>
  </si>
  <si>
    <t>16% OF THE TOTAL WORKFORCE RESIGNED</t>
  </si>
  <si>
    <t>PERCENTAGE ATTRITION FOR TOTAL STAFF BY GENDER</t>
  </si>
  <si>
    <t>PERCENTAGE OF STAFF BY GENDER</t>
  </si>
  <si>
    <t>PERCENTAGE SHOWS ATTRITION RATE BY GENDER VARIES BY JUST TWO PERCENT WHEN COMPARED WITH THE TOTAL STAFF IN THE ORGANISATION</t>
  </si>
  <si>
    <t>Average of MonthlyIncome</t>
  </si>
  <si>
    <t>Average of DistanceFromHome</t>
  </si>
  <si>
    <t>ATTRITION</t>
  </si>
  <si>
    <t>OVERTIME?</t>
  </si>
  <si>
    <t>HR ATTRITION RATE DASHBOARD</t>
  </si>
  <si>
    <t>Row Labels</t>
  </si>
  <si>
    <t>Column Labels</t>
  </si>
  <si>
    <t>HR ATTRITION DASHBOARD</t>
  </si>
  <si>
    <t>THERE WAS MORE % RESIGNATION IN SALES EVEN THOUGH IT LOOKS LIKE THE R&amp;D HAD MORE NUMBERS. R&amp;D HAD THE LOWEST ATTRITION RATE</t>
  </si>
  <si>
    <t>18-27</t>
  </si>
  <si>
    <t>28-37</t>
  </si>
  <si>
    <t>38-47</t>
  </si>
  <si>
    <t>48-57</t>
  </si>
  <si>
    <t>58-67</t>
  </si>
  <si>
    <t>PERCENTAGE</t>
  </si>
  <si>
    <t>Count of MonthlyIncome</t>
  </si>
  <si>
    <t>AVERAGE SALARY VS ATTRITION</t>
  </si>
  <si>
    <t>1009-3008</t>
  </si>
  <si>
    <t>3009-5008</t>
  </si>
  <si>
    <t>5009-7008</t>
  </si>
  <si>
    <t>7009-9008</t>
  </si>
  <si>
    <t>9009-11008</t>
  </si>
  <si>
    <t>11009-13008</t>
  </si>
  <si>
    <t>13009-15008</t>
  </si>
  <si>
    <t>17009-19008</t>
  </si>
  <si>
    <t>19009-21008</t>
  </si>
  <si>
    <t>MONTHLY INCOME</t>
  </si>
  <si>
    <t xml:space="preserve">NUMBER </t>
  </si>
  <si>
    <t>AGE RANGE</t>
  </si>
  <si>
    <t>ATTRITION PERCENTAGE</t>
  </si>
  <si>
    <t>AVERAGE MONTHLY INCOME</t>
  </si>
  <si>
    <t>Count of JobSatisfaction</t>
  </si>
  <si>
    <t>Count of EnvironmentSatisfaction</t>
  </si>
  <si>
    <t>1</t>
  </si>
  <si>
    <t>2</t>
  </si>
  <si>
    <t>3</t>
  </si>
  <si>
    <t>4</t>
  </si>
  <si>
    <t>MALE</t>
  </si>
  <si>
    <t>FEMALE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</si>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</sst>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
    <numFmt numFmtId="165"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Arial Black"/>
      <family val="2"/>
    </font>
    <font>
      <sz val="11"/>
      <color theme="2" tint="-0.499984740745262"/>
      <name val="Calibri"/>
      <family val="2"/>
      <scheme val="minor"/>
    </font>
    <font>
      <b/>
      <sz val="18"/>
      <color theme="5" tint="-0.499984740745262"/>
      <name val="Arial"/>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C000"/>
        <bgColor indexed="64"/>
      </patternFill>
    </fill>
    <fill>
      <patternFill patternType="solid">
        <fgColor theme="0"/>
        <bgColor indexed="64"/>
      </patternFill>
    </fill>
    <fill>
      <patternFill patternType="solid">
        <fgColor theme="1"/>
        <bgColor indexed="64"/>
      </patternFill>
    </fill>
    <fill>
      <patternFill patternType="solid">
        <fgColor theme="1"/>
        <bgColor theme="4" tint="0.79998168889431442"/>
      </patternFill>
    </fill>
    <fill>
      <patternFill patternType="solid">
        <fgColor theme="6" tint="0.59999389629810485"/>
        <bgColor indexed="64"/>
      </patternFill>
    </fill>
    <fill>
      <patternFill patternType="solid">
        <fgColor theme="5" tint="-0.249977111117893"/>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4">
    <xf numFmtId="0" fontId="0" fillId="0" borderId="0" xfId="0"/>
    <xf numFmtId="0" fontId="0" fillId="33" borderId="10" xfId="0" applyFont="1" applyFill="1" applyBorder="1"/>
    <xf numFmtId="0" fontId="0" fillId="33" borderId="11" xfId="0" applyFont="1" applyFill="1" applyBorder="1"/>
    <xf numFmtId="0" fontId="0" fillId="0" borderId="10" xfId="0" applyFont="1" applyBorder="1"/>
    <xf numFmtId="0" fontId="0" fillId="0" borderId="11" xfId="0" applyFont="1" applyBorder="1"/>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0" fillId="33" borderId="12" xfId="0" applyFont="1" applyFill="1" applyBorder="1"/>
    <xf numFmtId="0" fontId="0" fillId="0" borderId="12" xfId="0" applyFont="1" applyBorder="1"/>
    <xf numFmtId="0" fontId="0" fillId="34" borderId="0" xfId="0" applyFill="1"/>
    <xf numFmtId="0" fontId="16" fillId="34" borderId="0" xfId="0" applyFont="1" applyFill="1"/>
    <xf numFmtId="0" fontId="0" fillId="0" borderId="0" xfId="0" applyFill="1"/>
    <xf numFmtId="0" fontId="0" fillId="35" borderId="0" xfId="0" applyFill="1" applyAlignment="1">
      <alignment horizontal="left"/>
    </xf>
    <xf numFmtId="0" fontId="0" fillId="35" borderId="0" xfId="0" applyNumberFormat="1" applyFill="1"/>
    <xf numFmtId="9" fontId="0" fillId="35" borderId="0" xfId="1" applyFont="1" applyFill="1"/>
    <xf numFmtId="164" fontId="0" fillId="35" borderId="0" xfId="1" applyNumberFormat="1" applyFont="1" applyFill="1"/>
    <xf numFmtId="10" fontId="0" fillId="35" borderId="0" xfId="1" applyNumberFormat="1" applyFont="1" applyFill="1"/>
    <xf numFmtId="10" fontId="0" fillId="34" borderId="0" xfId="1" applyNumberFormat="1" applyFont="1" applyFill="1"/>
    <xf numFmtId="0" fontId="0" fillId="36" borderId="0" xfId="0" applyFill="1"/>
    <xf numFmtId="165" fontId="0" fillId="0" borderId="0" xfId="0" applyNumberFormat="1"/>
    <xf numFmtId="9" fontId="0" fillId="0" borderId="0" xfId="1" applyFont="1"/>
    <xf numFmtId="0" fontId="18" fillId="0" borderId="0" xfId="0" applyFont="1"/>
    <xf numFmtId="0" fontId="18" fillId="39" borderId="0" xfId="0" applyFont="1" applyFill="1" applyBorder="1"/>
    <xf numFmtId="0" fontId="18" fillId="39" borderId="0" xfId="0" applyFont="1" applyFill="1"/>
    <xf numFmtId="0" fontId="16" fillId="39" borderId="0" xfId="0" applyFont="1" applyFill="1" applyBorder="1"/>
    <xf numFmtId="0" fontId="16" fillId="39" borderId="0" xfId="0" applyFont="1" applyFill="1"/>
    <xf numFmtId="0" fontId="0" fillId="40" borderId="0" xfId="0" applyFont="1" applyFill="1" applyBorder="1"/>
    <xf numFmtId="0" fontId="0" fillId="40" borderId="11" xfId="0" applyFont="1" applyFill="1" applyBorder="1"/>
    <xf numFmtId="0" fontId="0" fillId="39" borderId="0" xfId="0" applyFont="1" applyFill="1" applyBorder="1"/>
    <xf numFmtId="0" fontId="0" fillId="39" borderId="11" xfId="0" applyFont="1" applyFill="1" applyBorder="1"/>
    <xf numFmtId="0" fontId="0" fillId="39" borderId="14" xfId="0" applyFont="1" applyFill="1" applyBorder="1"/>
    <xf numFmtId="0" fontId="0" fillId="39" borderId="13" xfId="0" applyFont="1" applyFill="1" applyBorder="1"/>
    <xf numFmtId="0" fontId="0" fillId="40" borderId="10" xfId="0" applyFont="1" applyFill="1" applyBorder="1"/>
    <xf numFmtId="0" fontId="0" fillId="39" borderId="10" xfId="0" applyFont="1" applyFill="1" applyBorder="1"/>
    <xf numFmtId="0" fontId="19" fillId="39" borderId="0" xfId="0" applyFont="1" applyFill="1" applyBorder="1"/>
    <xf numFmtId="9" fontId="0" fillId="35" borderId="0" xfId="0" applyNumberFormat="1" applyFill="1" applyAlignment="1">
      <alignment horizontal="left"/>
    </xf>
    <xf numFmtId="10" fontId="0" fillId="0" borderId="0" xfId="1" applyNumberFormat="1" applyFont="1"/>
    <xf numFmtId="10" fontId="0" fillId="0" borderId="0" xfId="0" applyNumberFormat="1"/>
    <xf numFmtId="43" fontId="0" fillId="0" borderId="0" xfId="0" applyNumberFormat="1"/>
    <xf numFmtId="165" fontId="0" fillId="0" borderId="0" xfId="0" pivotButton="1" applyNumberFormat="1"/>
    <xf numFmtId="165" fontId="0" fillId="0" borderId="0" xfId="0" applyNumberFormat="1" applyAlignment="1">
      <alignment horizontal="left"/>
    </xf>
    <xf numFmtId="0" fontId="0" fillId="41" borderId="0" xfId="0" applyFill="1"/>
    <xf numFmtId="0" fontId="0" fillId="0" borderId="0" xfId="0" applyAlignment="1">
      <alignment wrapText="1"/>
    </xf>
    <xf numFmtId="0" fontId="17" fillId="42" borderId="0" xfId="0" applyFont="1" applyFill="1"/>
    <xf numFmtId="10" fontId="0" fillId="0" borderId="0" xfId="1" applyNumberFormat="1" applyFont="1" applyFill="1"/>
    <xf numFmtId="49" fontId="0" fillId="0" borderId="0" xfId="0" applyNumberFormat="1"/>
    <xf numFmtId="0" fontId="0" fillId="37" borderId="0" xfId="0" applyFill="1" applyAlignment="1">
      <alignment horizontal="center" wrapText="1"/>
    </xf>
    <xf numFmtId="0" fontId="20" fillId="41" borderId="0" xfId="0" applyFont="1" applyFill="1" applyAlignment="1">
      <alignment horizontal="center"/>
    </xf>
    <xf numFmtId="0" fontId="16" fillId="0" borderId="0" xfId="0" applyFont="1" applyAlignment="1">
      <alignment horizontal="center"/>
    </xf>
    <xf numFmtId="0" fontId="18" fillId="38" borderId="0" xfId="0" applyFont="1" applyFill="1" applyBorder="1" applyAlignment="1">
      <alignment horizontal="center"/>
    </xf>
    <xf numFmtId="9" fontId="0" fillId="0" borderId="0" xfId="0" applyNumberFormat="1"/>
    <xf numFmtId="0" fontId="20" fillId="41" borderId="0" xfId="0" applyFont="1" applyFill="1" applyAlignme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2">
    <dxf>
      <numFmt numFmtId="165" formatCode="&quot;$&quot;#,##0.00"/>
    </dxf>
    <dxf>
      <fill>
        <patternFill>
          <bgColor rgb="FFFF0000"/>
        </patternFill>
      </fill>
    </dxf>
    <dxf>
      <numFmt numFmtId="165" formatCode="&quot;$&quot;#,##0.00"/>
    </dxf>
    <dxf>
      <numFmt numFmtId="165" formatCode="&quot;$&quot;#,##0.00"/>
    </dxf>
    <dxf>
      <numFmt numFmtId="165"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quot;$&quot;#,##0.00"/>
    </dxf>
    <dxf>
      <fill>
        <patternFill patternType="solid">
          <bgColor theme="3" tint="0.79998168889431442"/>
        </patternFill>
      </fill>
    </dxf>
    <dxf>
      <fill>
        <patternFill patternType="solid">
          <bgColor theme="3" tint="0.79998168889431442"/>
        </patternFill>
      </fill>
    </dxf>
    <dxf>
      <fill>
        <patternFill>
          <bgColor theme="3" tint="0.79998168889431442"/>
        </patternFill>
      </fill>
    </dxf>
    <dxf>
      <fill>
        <patternFill>
          <bgColor theme="3"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'DEPARTMENT AND GENDER'!$C$31:$C$32</c:f>
              <c:strCache>
                <c:ptCount val="2"/>
                <c:pt idx="0">
                  <c:v>Female</c:v>
                </c:pt>
                <c:pt idx="1">
                  <c:v>Male</c:v>
                </c:pt>
              </c:strCache>
            </c:strRef>
          </c:cat>
          <c:val>
            <c:numRef>
              <c:f>'DEPARTMENT AND GENDER'!$D$31:$D$32</c:f>
              <c:numCache>
                <c:formatCode>0%</c:formatCode>
                <c:ptCount val="2"/>
                <c:pt idx="0">
                  <c:v>0.15</c:v>
                </c:pt>
                <c:pt idx="1">
                  <c:v>0.17</c:v>
                </c:pt>
              </c:numCache>
            </c:numRef>
          </c:val>
          <c:extLst>
            <c:ext xmlns:c16="http://schemas.microsoft.com/office/drawing/2014/chart" uri="{C3380CC4-5D6E-409C-BE32-E72D297353CC}">
              <c16:uniqueId val="{00000000-F06D-4D95-B2C9-E2E7717BAC5B}"/>
            </c:ext>
          </c:extLst>
        </c:ser>
        <c:dLbls>
          <c:showLegendKey val="0"/>
          <c:showVal val="0"/>
          <c:showCatName val="0"/>
          <c:showSerName val="0"/>
          <c:showPercent val="0"/>
          <c:showBubbleSize val="0"/>
        </c:dLbls>
        <c:gapWidth val="219"/>
        <c:overlap val="-27"/>
        <c:axId val="154491104"/>
        <c:axId val="154496928"/>
      </c:barChart>
      <c:catAx>
        <c:axId val="15449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6928"/>
        <c:crosses val="autoZero"/>
        <c:auto val="1"/>
        <c:lblAlgn val="ctr"/>
        <c:lblOffset val="100"/>
        <c:noMultiLvlLbl val="0"/>
      </c:catAx>
      <c:valAx>
        <c:axId val="154496928"/>
        <c:scaling>
          <c:orientation val="minMax"/>
          <c:max val="0.2"/>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DEPARTMENTS</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'DEPARTMENT AND GENDER'!$B$43:$B$45</c:f>
              <c:strCache>
                <c:ptCount val="3"/>
                <c:pt idx="0">
                  <c:v>Human Resources</c:v>
                </c:pt>
                <c:pt idx="1">
                  <c:v>Research &amp; Development</c:v>
                </c:pt>
                <c:pt idx="2">
                  <c:v>Sales</c:v>
                </c:pt>
              </c:strCache>
            </c:strRef>
          </c:cat>
          <c:val>
            <c:numRef>
              <c:f>'DEPARTMENT AND GENDER'!$C$43:$C$45</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74A0-4347-80DB-CEF8A2AB4CDB}"/>
            </c:ext>
          </c:extLst>
        </c:ser>
        <c:dLbls>
          <c:showLegendKey val="0"/>
          <c:showVal val="0"/>
          <c:showCatName val="0"/>
          <c:showSerName val="0"/>
          <c:showPercent val="0"/>
          <c:showBubbleSize val="0"/>
        </c:dLbls>
        <c:gapWidth val="150"/>
        <c:shape val="box"/>
        <c:axId val="1529488319"/>
        <c:axId val="1529483743"/>
        <c:axId val="0"/>
      </c:bar3DChart>
      <c:catAx>
        <c:axId val="1529488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3743"/>
        <c:crosses val="autoZero"/>
        <c:auto val="1"/>
        <c:lblAlgn val="ctr"/>
        <c:lblOffset val="100"/>
        <c:noMultiLvlLbl val="0"/>
      </c:catAx>
      <c:valAx>
        <c:axId val="1529483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8319"/>
        <c:crosses val="autoZero"/>
        <c:crossBetween val="between"/>
      </c:valAx>
      <c:spPr>
        <a:noFill/>
        <a:ln>
          <a:noFill/>
        </a:ln>
        <a:effectLst/>
      </c:spPr>
    </c:plotArea>
    <c:plotVisOnly val="1"/>
    <c:dispBlanksAs val="gap"/>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STAFF</a:t>
            </a:r>
            <a:r>
              <a:rPr lang="en-US" baseline="0"/>
              <a:t> GENDER</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'DEPARTMENT AND GENDER'!$C$37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26F-4115-ACDC-7A4D7820D875}"/>
              </c:ext>
            </c:extLst>
          </c:dPt>
          <c:dLbls>
            <c:dLbl>
              <c:idx val="1"/>
              <c:layout>
                <c:manualLayout>
                  <c:x val="0.18082191780821916"/>
                  <c:y val="5.9452551325702846E-2"/>
                </c:manualLayout>
              </c:layout>
              <c:showLegendKey val="0"/>
              <c:showVal val="0"/>
              <c:showCatName val="1"/>
              <c:showSerName val="0"/>
              <c:showPercent val="1"/>
              <c:showBubbleSize val="0"/>
              <c:extLst>
                <c:ext xmlns:c15="http://schemas.microsoft.com/office/drawing/2012/chart" uri="{CE6537A1-D6FC-4f65-9D91-7224C49458BB}">
                  <c15:layout>
                    <c:manualLayout>
                      <c:w val="0.29452054794520549"/>
                      <c:h val="0.16843710629902445"/>
                    </c:manualLayout>
                  </c15:layout>
                </c:ext>
                <c:ext xmlns:c16="http://schemas.microsoft.com/office/drawing/2014/chart" uri="{C3380CC4-5D6E-409C-BE32-E72D297353CC}">
                  <c16:uniqueId val="{00000001-526F-4115-ACDC-7A4D7820D875}"/>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'DEPARTMENT AND GENDER'!$B$38:$B$39</c:f>
              <c:strCache>
                <c:ptCount val="2"/>
                <c:pt idx="0">
                  <c:v>MALE</c:v>
                </c:pt>
                <c:pt idx="1">
                  <c:v>FEMALE</c:v>
                </c:pt>
              </c:strCache>
            </c:strRef>
          </c:cat>
          <c:val>
            <c:numRef>
              <c:f>'DEPARTMENT AND GENDER'!$C$38:$C$39</c:f>
              <c:numCache>
                <c:formatCode>General</c:formatCode>
                <c:ptCount val="2"/>
                <c:pt idx="0">
                  <c:v>60</c:v>
                </c:pt>
                <c:pt idx="1">
                  <c:v>40</c:v>
                </c:pt>
              </c:numCache>
            </c:numRef>
          </c:val>
          <c:extLst>
            <c:ext xmlns:c16="http://schemas.microsoft.com/office/drawing/2014/chart" uri="{C3380CC4-5D6E-409C-BE32-E72D297353CC}">
              <c16:uniqueId val="{00000000-526F-4115-ACDC-7A4D7820D87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65717746820112"/>
          <c:y val="0.15327154193552689"/>
          <c:w val="0.63894205532000803"/>
          <c:h val="0.75397131712690968"/>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935-4489-AF64-C4B7779C64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935-4489-AF64-C4B7779C64AB}"/>
              </c:ext>
            </c:extLst>
          </c:dPt>
          <c:dLbls>
            <c:dLbl>
              <c:idx val="0"/>
              <c:layout>
                <c:manualLayout>
                  <c:x val="-0.17102342014940441"/>
                  <c:y val="-1.1694050624346612E-2"/>
                </c:manualLayout>
              </c:layout>
              <c:tx>
                <c:rich>
                  <a:bodyPr/>
                  <a:lstStyle/>
                  <a:p>
                    <a:fld id="{6AF64D6D-9557-47CF-9B7C-910278C05D86}" type="CATEGORYNAME">
                      <a:rPr lang="en-US"/>
                      <a:pPr/>
                      <a:t>[CATEGORY NAME]</a:t>
                    </a:fld>
                    <a:r>
                      <a:rPr lang="en-US" baseline="0"/>
                      <a:t>
</a:t>
                    </a:r>
                    <a:fld id="{72736D24-C716-460E-AFBF-0D16BA0591D6}" type="VALUE">
                      <a:rPr lang="en-US" baseline="0"/>
                      <a:pPr/>
                      <a:t>[VALUE]</a:t>
                    </a:fld>
                    <a:endParaRPr lang="en-US" baseline="0"/>
                  </a:p>
                </c:rich>
              </c:tx>
              <c:showLegendKey val="0"/>
              <c:showVal val="0"/>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E935-4489-AF64-C4B7779C64AB}"/>
                </c:ext>
              </c:extLst>
            </c:dLbl>
            <c:dLbl>
              <c:idx val="1"/>
              <c:layout>
                <c:manualLayout>
                  <c:x val="0.22448092065414896"/>
                  <c:y val="-1.2023782636083601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24B03CE8-0EDA-4FBF-A308-5C13C7F2E7B9}" type="CATEGORYNAME">
                      <a:rPr lang="en-US"/>
                      <a:pPr>
                        <a:defRPr/>
                      </a:pPr>
                      <a:t>[CATEGORY NAME]</a:t>
                    </a:fld>
                    <a:r>
                      <a:rPr lang="en-US" baseline="0"/>
                      <a:t>
</a:t>
                    </a:r>
                    <a:fld id="{D64BC78A-5C87-4E6A-8016-1F2F7A782654}" type="VALUE">
                      <a:rPr lang="en-US" baseline="0"/>
                      <a:pPr>
                        <a:defRPr/>
                      </a:pPr>
                      <a:t>[VALUE]</a:t>
                    </a:fld>
                    <a:endParaRPr lang="en-US" baseline="0"/>
                  </a:p>
                </c:rich>
              </c:tx>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794871794871795"/>
                      <c:h val="0.21552227739992014"/>
                    </c:manualLayout>
                  </c15:layout>
                  <c15:dlblFieldTable/>
                  <c15:showDataLabelsRange val="0"/>
                </c:ext>
                <c:ext xmlns:c16="http://schemas.microsoft.com/office/drawing/2014/chart" uri="{C3380CC4-5D6E-409C-BE32-E72D297353CC}">
                  <c16:uniqueId val="{00000001-E935-4489-AF64-C4B7779C64A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'DEPARTMENT AND GENDER'!$C$49:$C$50</c:f>
              <c:strCache>
                <c:ptCount val="2"/>
                <c:pt idx="0">
                  <c:v>MALE</c:v>
                </c:pt>
                <c:pt idx="1">
                  <c:v>FEMALE</c:v>
                </c:pt>
              </c:strCache>
            </c:strRef>
          </c:cat>
          <c:val>
            <c:numRef>
              <c:f>'DEPARTMENT AND GENDER'!$D$49:$D$50</c:f>
              <c:numCache>
                <c:formatCode>0%</c:formatCode>
                <c:ptCount val="2"/>
                <c:pt idx="0">
                  <c:v>0.17</c:v>
                </c:pt>
                <c:pt idx="1">
                  <c:v>0.15</c:v>
                </c:pt>
              </c:numCache>
            </c:numRef>
          </c:val>
          <c:extLst>
            <c:ext xmlns:c16="http://schemas.microsoft.com/office/drawing/2014/chart" uri="{C3380CC4-5D6E-409C-BE32-E72D297353CC}">
              <c16:uniqueId val="{00000000-E935-4489-AF64-C4B7779C64AB}"/>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ATTRIUTION PROJECT1.xlsx]ATTRITION AND DISTANCE!PivotTable1</c:name>
    <c:fmtId val="8"/>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'ATTRITION AND DISTANCE'!$B$3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972-4A31-B2B7-FB1F9A0699BA}"/>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972-4A31-B2B7-FB1F9A0699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'ATTRITION AND DISTANCE'!$A$4:$A$6</c:f>
              <c:strCache>
                <c:ptCount val="2"/>
                <c:pt idx="0">
                  <c:v>No</c:v>
                </c:pt>
                <c:pt idx="1">
                  <c:v>Yes</c:v>
                </c:pt>
              </c:strCache>
            </c:strRef>
          </c:cat>
          <c:val>
            <c:numRef>
              <c:f>'ATTRITION AND DISTANCE'!$B$4:$B$6</c:f>
              <c:numCache>
                <c:formatCode>General</c:formatCode>
                <c:ptCount val="2"/>
                <c:pt idx="0">
                  <c:v>8.9156528791565286</c:v>
                </c:pt>
                <c:pt idx="1">
                  <c:v>10.632911392405063</c:v>
                </c:pt>
              </c:numCache>
            </c:numRef>
          </c:val>
          <c:extLst>
            <c:ext xmlns:c16="http://schemas.microsoft.com/office/drawing/2014/chart" uri="{C3380CC4-5D6E-409C-BE32-E72D297353CC}">
              <c16:uniqueId val="{00000000-D40F-47E5-AA80-EA51B8F7102B}"/>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ATTRIUTION PROJECT1.xlsx]Sheet1!PivotTable1</c:name>
    <c:fmtId val="17"/>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attrition and overtime</a:t>
            </a:r>
          </a:p>
          <a:p>
            <a:pPr>
              <a:defRPr/>
            </a:pPr>
            <a:r>
              <a:rPr lang="en-US" sz="1000">
                <a:solidFill>
                  <a:schemeClr val="accent6">
                    <a:lumMod val="75000"/>
                  </a:schemeClr>
                </a:solidFill>
              </a:rPr>
              <a:t>shows those</a:t>
            </a:r>
            <a:r>
              <a:rPr lang="en-US" sz="1000" baseline="0">
                <a:solidFill>
                  <a:schemeClr val="accent6">
                    <a:lumMod val="75000"/>
                  </a:schemeClr>
                </a:solidFill>
              </a:rPr>
              <a:t> who got overtime did not resign</a:t>
            </a:r>
            <a:endParaRPr lang="en-US" sz="1000">
              <a:solidFill>
                <a:schemeClr val="accent6">
                  <a:lumMod val="75000"/>
                </a:schemeClr>
              </a:solidFill>
            </a:endParaRPr>
          </a:p>
        </c:rich>
      </c:tx>
      <c:layout>
        <c:manualLayout>
          <c:xMode val="edge"/>
          <c:yMode val="edge"/>
          <c:x val="0.15550000000000003"/>
          <c:y val="8.231262758821814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pPr>
            <a:solidFill>
              <a:schemeClr val="accent1"/>
            </a:solidFill>
            <a:ln w="9525">
              <a:solidFill>
                <a:schemeClr val="lt1"/>
              </a:solidFill>
            </a:ln>
            <a:effectLst/>
          </c:spPr>
        </c:marker>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E6C0-4468-9784-D87AA1AFEB98}"/>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E6C0-4468-9784-D87AA1AFEB98}"/>
              </c:ext>
            </c:extLst>
          </c:dPt>
          <c:dLbls>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1-E6C0-4468-9784-D87AA1AFEB98}"/>
                </c:ext>
              </c:extLst>
            </c:dLbl>
            <c:dLbl>
              <c:idx val="1"/>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2-E6C0-4468-9784-D87AA1AFEB98}"/>
                </c:ext>
              </c:extLst>
            </c:dLbl>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Sheet1!$A$4:$A$6</c:f>
              <c:strCache>
                <c:ptCount val="2"/>
                <c:pt idx="0">
                  <c:v>No</c:v>
                </c:pt>
                <c:pt idx="1">
                  <c:v>Yes</c:v>
                </c:pt>
              </c:strCache>
            </c:strRef>
          </c:cat>
          <c:val>
            <c:numRef>
              <c:f>Sheet1!$B$4:$B$6</c:f>
              <c:numCache>
                <c:formatCode>General</c:formatCode>
                <c:ptCount val="2"/>
                <c:pt idx="0">
                  <c:v>1233</c:v>
                </c:pt>
                <c:pt idx="1">
                  <c:v>237</c:v>
                </c:pt>
              </c:numCache>
            </c:numRef>
          </c:val>
          <c:extLst>
            <c:ext xmlns:c16="http://schemas.microsoft.com/office/drawing/2014/chart" uri="{C3380CC4-5D6E-409C-BE32-E72D297353CC}">
              <c16:uniqueId val="{00000000-E6C0-4468-9784-D87AA1AFEB98}"/>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ATTRIUTION PROJECT1.xlsx]INCOME!PivotTable7</c:name>
    <c:fmtId val="6"/>
  </c:pivotSource>
  <c:chart>
    <c:autoTitleDeleted val="1"/>
    <c:pivotFmts>
      <c:pivotFmt>
        <c:idx val="0"/>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19225721784777"/>
          <c:y val="0.10185185185185185"/>
          <c:w val="0.81114107611548558"/>
          <c:h val="0.64734725867599885"/>
        </c:manualLayout>
      </c:layout>
      <c:bar3DChart>
        <c:barDir val="col"/>
        <c:grouping val="clustered"/>
        <c:varyColors val="0"/>
        <c:ser>
          <c:idx val="0"/>
          <c:order val="0"/>
          <c:tx>
            <c:strRef>
              <c:f>INCOME!$B$3:$B$4</c:f>
              <c:strCache>
                <c:ptCount val="1"/>
                <c:pt idx="0">
                  <c:v>NUMBER </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INCOME!$A$5:$A$14</c:f>
              <c:strCache>
                <c:ptCount val="9"/>
                <c:pt idx="0">
                  <c:v>1009-3008</c:v>
                </c:pt>
                <c:pt idx="1">
                  <c:v>3009-5008</c:v>
                </c:pt>
                <c:pt idx="2">
                  <c:v>5009-7008</c:v>
                </c:pt>
                <c:pt idx="3">
                  <c:v>7009-9008</c:v>
                </c:pt>
                <c:pt idx="4">
                  <c:v>9009-11008</c:v>
                </c:pt>
                <c:pt idx="5">
                  <c:v>11009-13008</c:v>
                </c:pt>
                <c:pt idx="6">
                  <c:v>13009-15008</c:v>
                </c:pt>
                <c:pt idx="7">
                  <c:v>17009-19008</c:v>
                </c:pt>
                <c:pt idx="8">
                  <c:v>19009-21008</c:v>
                </c:pt>
              </c:strCache>
            </c:strRef>
          </c:cat>
          <c:val>
            <c:numRef>
              <c:f>INCOME!$B$5:$B$14</c:f>
              <c:numCache>
                <c:formatCode>_(* #,##0.00_);_(* \(#,##0.00\);_(* "-"??_);_(@_)</c:formatCode>
                <c:ptCount val="9"/>
                <c:pt idx="0">
                  <c:v>113</c:v>
                </c:pt>
                <c:pt idx="1">
                  <c:v>50</c:v>
                </c:pt>
                <c:pt idx="2">
                  <c:v>27</c:v>
                </c:pt>
                <c:pt idx="3">
                  <c:v>13</c:v>
                </c:pt>
                <c:pt idx="4">
                  <c:v>22</c:v>
                </c:pt>
                <c:pt idx="5">
                  <c:v>3</c:v>
                </c:pt>
                <c:pt idx="6">
                  <c:v>4</c:v>
                </c:pt>
                <c:pt idx="7">
                  <c:v>1</c:v>
                </c:pt>
                <c:pt idx="8">
                  <c:v>4</c:v>
                </c:pt>
              </c:numCache>
            </c:numRef>
          </c:val>
          <c:extLst>
            <c:ext xmlns:c16="http://schemas.microsoft.com/office/drawing/2014/chart" uri="{C3380CC4-5D6E-409C-BE32-E72D297353CC}">
              <c16:uniqueId val="{00000000-E2CC-485E-86E3-314684FA1FD3}"/>
            </c:ext>
          </c:extLst>
        </c:ser>
        <c:dLbls>
          <c:showLegendKey val="0"/>
          <c:showVal val="0"/>
          <c:showCatName val="0"/>
          <c:showSerName val="0"/>
          <c:showPercent val="0"/>
          <c:showBubbleSize val="0"/>
        </c:dLbls>
        <c:gapWidth val="65"/>
        <c:shape val="box"/>
        <c:axId val="352546272"/>
        <c:axId val="352533376"/>
        <c:axId val="0"/>
      </c:bar3DChart>
      <c:catAx>
        <c:axId val="3525462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2533376"/>
        <c:crosses val="autoZero"/>
        <c:auto val="1"/>
        <c:lblAlgn val="ctr"/>
        <c:lblOffset val="100"/>
        <c:noMultiLvlLbl val="0"/>
      </c:catAx>
      <c:valAx>
        <c:axId val="352533376"/>
        <c:scaling>
          <c:orientation val="minMax"/>
        </c:scaling>
        <c:delete val="0"/>
        <c:axPos val="l"/>
        <c:majorGridlines>
          <c:spPr>
            <a:ln w="9525" cap="flat" cmpd="sng" algn="ctr">
              <a:solidFill>
                <a:schemeClr val="dk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25462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'AGE RANGE'!$B$12</c:f>
              <c:strCache>
                <c:ptCount val="1"/>
                <c:pt idx="0">
                  <c:v>ATTRITION PERCENTAGE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'AGE RANGE'!$A$13:$A$17</c:f>
              <c:strCache>
                <c:ptCount val="5"/>
                <c:pt idx="0">
                  <c:v>18-27</c:v>
                </c:pt>
                <c:pt idx="1">
                  <c:v>28-37</c:v>
                </c:pt>
                <c:pt idx="2">
                  <c:v>38-47</c:v>
                </c:pt>
                <c:pt idx="3">
                  <c:v>48-57</c:v>
                </c:pt>
                <c:pt idx="4">
                  <c:v>58-67</c:v>
                </c:pt>
              </c:strCache>
            </c:strRef>
          </c:cat>
          <c:val>
            <c:numRef>
              <c:f>'AGE RANGE'!$B$13:$B$17</c:f>
              <c:numCache>
                <c:formatCode>0.00%</c:formatCode>
                <c:ptCount val="5"/>
                <c:pt idx="0">
                  <c:v>4.0136054421768708E-2</c:v>
                </c:pt>
                <c:pt idx="1">
                  <c:v>7.6870748299319724E-2</c:v>
                </c:pt>
                <c:pt idx="2">
                  <c:v>2.5850340136054421E-2</c:v>
                </c:pt>
                <c:pt idx="3">
                  <c:v>1.4965986394557823E-2</c:v>
                </c:pt>
                <c:pt idx="4">
                  <c:v>3.4013605442176869E-3</c:v>
                </c:pt>
              </c:numCache>
            </c:numRef>
          </c:val>
          <c:extLst>
            <c:ext xmlns:c16="http://schemas.microsoft.com/office/drawing/2014/chart" uri="{C3380CC4-5D6E-409C-BE32-E72D297353CC}">
              <c16:uniqueId val="{00000000-4206-47D8-A6C6-CF7EFD2D8176}"/>
            </c:ext>
          </c:extLst>
        </c:ser>
        <c:dLbls>
          <c:showLegendKey val="0"/>
          <c:showVal val="0"/>
          <c:showCatName val="0"/>
          <c:showSerName val="0"/>
          <c:showPercent val="0"/>
          <c:showBubbleSize val="0"/>
        </c:dLbls>
        <c:gapWidth val="65"/>
        <c:shape val="box"/>
        <c:axId val="352534208"/>
        <c:axId val="352531712"/>
        <c:axId val="0"/>
      </c:bar3DChart>
      <c:catAx>
        <c:axId val="3525342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2531712"/>
        <c:crosses val="autoZero"/>
        <c:auto val="1"/>
        <c:lblAlgn val="ctr"/>
        <c:lblOffset val="100"/>
        <c:noMultiLvlLbl val="0"/>
      </c:catAx>
      <c:valAx>
        <c:axId val="35253171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253420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AGE RANGE VS INCOME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2"/>
            </a:solidFill>
            <a:ln>
              <a:noFill/>
            </a:ln>
            <a:effectLst/>
          </c:spPr>
          <c:invertIfNegative val="0"/>
          <c:cat>
            <c:strRef>
              <c:f>'AGE RANGE'!$E$32:$E$36</c:f>
              <c:strCache>
                <c:ptCount val="5"/>
                <c:pt idx="0">
                  <c:v>18-27</c:v>
                </c:pt>
                <c:pt idx="1">
                  <c:v>28-37</c:v>
                </c:pt>
                <c:pt idx="2">
                  <c:v>38-47</c:v>
                </c:pt>
                <c:pt idx="3">
                  <c:v>48-57</c:v>
                </c:pt>
                <c:pt idx="4">
                  <c:v>58-67</c:v>
                </c:pt>
              </c:strCache>
            </c:strRef>
          </c:cat>
          <c:val>
            <c:numRef>
              <c:f>'AGE RANGE'!$F$32:$F$36</c:f>
              <c:numCache>
                <c:formatCode>"$"#,##0.00</c:formatCode>
                <c:ptCount val="5"/>
                <c:pt idx="0">
                  <c:v>3354.9190476190474</c:v>
                </c:pt>
                <c:pt idx="1">
                  <c:v>5182.3699059561131</c:v>
                </c:pt>
                <c:pt idx="2">
                  <c:v>7977.5394088669955</c:v>
                </c:pt>
                <c:pt idx="3">
                  <c:v>10844.604278074867</c:v>
                </c:pt>
                <c:pt idx="4">
                  <c:v>9710.4137931034475</c:v>
                </c:pt>
              </c:numCache>
            </c:numRef>
          </c:val>
          <c:extLst>
            <c:ext xmlns:c16="http://schemas.microsoft.com/office/drawing/2014/chart" uri="{C3380CC4-5D6E-409C-BE32-E72D297353CC}">
              <c16:uniqueId val="{00000000-C411-4FAE-B3D9-E2BF696AFE7F}"/>
            </c:ext>
          </c:extLst>
        </c:ser>
        <c:dLbls>
          <c:showLegendKey val="0"/>
          <c:showVal val="0"/>
          <c:showCatName val="0"/>
          <c:showSerName val="0"/>
          <c:showPercent val="0"/>
          <c:showBubbleSize val="0"/>
        </c:dLbls>
        <c:gapWidth val="182"/>
        <c:axId val="1254948191"/>
        <c:axId val="1254948607"/>
      </c:barChart>
      <c:catAx>
        <c:axId val="125494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48607"/>
        <c:crosses val="autoZero"/>
        <c:auto val="1"/>
        <c:lblAlgn val="ctr"/>
        <c:lblOffset val="100"/>
        <c:noMultiLvlLbl val="0"/>
      </c:catAx>
      <c:valAx>
        <c:axId val="1254948607"/>
        <c:scaling>
          <c:orientation val="minMax"/>
        </c:scaling>
        <c:delete val="0"/>
        <c:axPos val="b"/>
        <c:majorGridlines>
          <c:spPr>
            <a:ln w="9525" cap="flat" cmpd="sng" algn="ctr">
              <a:solidFill>
                <a:srgbClr val="FF0000"/>
              </a:solidFill>
              <a:round/>
            </a:ln>
            <a:effectLst/>
          </c:spPr>
        </c:majorGridlines>
        <c:numFmt formatCode="&quot;$&quot;#,##0.0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4948191"/>
        <c:crosses val="autoZero"/>
        <c:crossBetween val="between"/>
      </c:valAx>
      <c:spPr>
        <a:noFill/>
        <a:ln>
          <a:noFill/>
        </a:ln>
        <a:effectLst/>
      </c:spPr>
    </c:plotArea>
    <c:plotVisOnly val="1"/>
    <c:dispBlanksAs val="gap"/>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093736886700123"/>
          <c:y val="0.14105793450881612"/>
          <c:w val="0.78407284159310875"/>
          <c:h val="0.6867339693369563"/>
        </c:manualLayout>
      </c:layout>
      <c:bar3DChart>
        <c:barDir val="col"/>
        <c:grouping val="clustered"/>
        <c:varyColors val="0"/>
        <c:ser>
          <c:idx val="0"/>
          <c:order val="0"/>
          <c:spPr>
            <a:gradFill>
              <a:gsLst>
                <a:gs pos="100000">
                  <a:schemeClr val="accent2">
                    <a:alpha val="0"/>
                  </a:schemeClr>
                </a:gs>
                <a:gs pos="50000">
                  <a:schemeClr val="accent2"/>
                </a:gs>
              </a:gsLst>
              <a:lin ang="5400000" scaled="0"/>
            </a:gradFill>
            <a:ln>
              <a:noFill/>
            </a:ln>
            <a:effectLst/>
            <a:sp3d/>
          </c:spPr>
          <c:invertIfNegative val="0"/>
          <c:cat>
            <c:strRef>
              <c:f>'DEPARTMENT AND GENDER'!$B$43:$B$45</c:f>
              <c:strCache>
                <c:ptCount val="3"/>
                <c:pt idx="0">
                  <c:v>Human Resources</c:v>
                </c:pt>
                <c:pt idx="1">
                  <c:v>Research &amp; Development</c:v>
                </c:pt>
                <c:pt idx="2">
                  <c:v>Sales</c:v>
                </c:pt>
              </c:strCache>
            </c:strRef>
          </c:cat>
          <c:val>
            <c:numRef>
              <c:f>'DEPARTMENT AND GENDER'!$C$43:$C$45</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8710-4BF6-A2BC-848B6FC1BA06}"/>
            </c:ext>
          </c:extLst>
        </c:ser>
        <c:dLbls>
          <c:showLegendKey val="0"/>
          <c:showVal val="0"/>
          <c:showCatName val="0"/>
          <c:showSerName val="0"/>
          <c:showPercent val="0"/>
          <c:showBubbleSize val="0"/>
        </c:dLbls>
        <c:gapWidth val="150"/>
        <c:gapDepth val="0"/>
        <c:shape val="box"/>
        <c:axId val="1529488319"/>
        <c:axId val="1529483743"/>
        <c:axId val="0"/>
      </c:bar3DChart>
      <c:catAx>
        <c:axId val="1529488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3743"/>
        <c:crosses val="autoZero"/>
        <c:auto val="1"/>
        <c:lblAlgn val="ctr"/>
        <c:lblOffset val="100"/>
        <c:noMultiLvlLbl val="0"/>
      </c:catAx>
      <c:valAx>
        <c:axId val="1529483743"/>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8319"/>
        <c:crosses val="autoZero"/>
        <c:crossBetween val="between"/>
      </c:valAx>
      <c:spPr>
        <a:noFill/>
        <a:ln>
          <a:noFill/>
        </a:ln>
        <a:effectLst/>
      </c:spPr>
    </c:plotArea>
    <c:plotVisOnly val="1"/>
    <c:dispBlanksAs val="gap"/>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ATTRIUTION PROJECT1.xlsx]JOB SATISFACTION1!PivotTable3</c:name>
    <c:fmtId val="17"/>
  </c:pivotSource>
  <c:chart>
    <c:autoTitleDeleted val="0"/>
    <c:pivotFmts>
      <c:pivotFmt>
        <c:idx val="0"/>
        <c:spPr>
          <a:noFill/>
          <a:ln>
            <a:noFill/>
          </a:ln>
          <a:effectLst/>
        </c:spPr>
        <c:marker>
          <c:symbol val="none"/>
        </c:marker>
      </c:pivotFmt>
      <c:pivotFmt>
        <c:idx val="1"/>
        <c:spPr>
          <a:solidFill>
            <a:schemeClr val="accent1"/>
          </a:solidFill>
          <a:ln>
            <a:solidFill>
              <a:schemeClr val="lt1">
                <a:shade val="50000"/>
                <a:alpha val="98000"/>
              </a:schemeClr>
            </a:solidFill>
          </a:ln>
          <a:effectLst/>
        </c:spPr>
        <c:marker>
          <c:symbol val="none"/>
        </c:marker>
      </c:pivotFmt>
      <c:pivotFmt>
        <c:idx val="2"/>
        <c:spPr>
          <a:noFill/>
          <a:ln>
            <a:noFill/>
          </a:ln>
          <a:effectLst/>
        </c:spPr>
        <c:marker>
          <c:symbol val="none"/>
        </c:marker>
      </c:pivotFmt>
      <c:pivotFmt>
        <c:idx val="3"/>
        <c:spPr>
          <a:solidFill>
            <a:schemeClr val="accent1"/>
          </a:solidFill>
          <a:ln>
            <a:solidFill>
              <a:schemeClr val="lt1">
                <a:shade val="50000"/>
                <a:alpha val="98000"/>
              </a:schemeClr>
            </a:solidFill>
          </a:ln>
          <a:effectLst/>
        </c:spPr>
        <c:marker>
          <c:symbol val="none"/>
        </c:marker>
      </c:pivotFmt>
      <c:pivotFmt>
        <c:idx val="4"/>
        <c:spPr>
          <a:noFill/>
          <a:ln>
            <a:noFill/>
          </a:ln>
          <a:effectLst/>
        </c:spPr>
        <c:marker>
          <c:symbol val="none"/>
        </c:marker>
      </c:pivotFmt>
      <c:pivotFmt>
        <c:idx val="5"/>
        <c:spPr>
          <a:solidFill>
            <a:schemeClr val="accent1"/>
          </a:solidFill>
          <a:ln>
            <a:solidFill>
              <a:schemeClr val="lt1">
                <a:shade val="50000"/>
                <a:alpha val="98000"/>
              </a:schemeClr>
            </a:solidFill>
          </a:ln>
          <a:effectLst/>
        </c:spPr>
        <c:marker>
          <c:symbol val="none"/>
        </c:marker>
      </c:pivotFmt>
    </c:pivotFmts>
    <c:plotArea>
      <c:layout/>
      <c:barChart>
        <c:barDir val="col"/>
        <c:grouping val="clustered"/>
        <c:varyColors val="0"/>
        <c:ser>
          <c:idx val="0"/>
          <c:order val="0"/>
          <c:tx>
            <c:strRef>
              <c:f>'JOB SATISFACTION1'!$B$3:$B$4</c:f>
              <c:strCache>
                <c:ptCount val="1"/>
                <c:pt idx="0">
                  <c:v>No</c:v>
                </c:pt>
              </c:strCache>
            </c:strRef>
          </c:tx>
          <c:spPr>
            <a:noFill/>
            <a:ln>
              <a:noFill/>
            </a:ln>
            <a:effectLst/>
          </c:spPr>
          <c:invertIfNegative val="0"/>
          <c:cat>
            <c:strRef>
              <c:f>'JOB SATISFACTION1'!$A$5:$A$9</c:f>
              <c:strCache>
                <c:ptCount val="4"/>
                <c:pt idx="0">
                  <c:v>1</c:v>
                </c:pt>
                <c:pt idx="1">
                  <c:v>2</c:v>
                </c:pt>
                <c:pt idx="2">
                  <c:v>3</c:v>
                </c:pt>
                <c:pt idx="3">
                  <c:v>4</c:v>
                </c:pt>
              </c:strCache>
            </c:strRef>
          </c:cat>
          <c:val>
            <c:numRef>
              <c:f>'JOB SATISFACTION1'!$B$5:$B$9</c:f>
              <c:numCache>
                <c:formatCode>0.00%</c:formatCode>
                <c:ptCount val="4"/>
                <c:pt idx="0">
                  <c:v>0.54545454545454541</c:v>
                </c:pt>
                <c:pt idx="1">
                  <c:v>0.9</c:v>
                </c:pt>
                <c:pt idx="2">
                  <c:v>0.8</c:v>
                </c:pt>
                <c:pt idx="3">
                  <c:v>0.88235294117647056</c:v>
                </c:pt>
              </c:numCache>
            </c:numRef>
          </c:val>
          <c:extLst>
            <c:ext xmlns:c16="http://schemas.microsoft.com/office/drawing/2014/chart" uri="{C3380CC4-5D6E-409C-BE32-E72D297353CC}">
              <c16:uniqueId val="{00000000-EBFF-4C49-B564-FC937019A656}"/>
            </c:ext>
          </c:extLst>
        </c:ser>
        <c:dLbls>
          <c:showLegendKey val="0"/>
          <c:showVal val="0"/>
          <c:showCatName val="0"/>
          <c:showSerName val="0"/>
          <c:showPercent val="0"/>
          <c:showBubbleSize val="0"/>
        </c:dLbls>
        <c:gapWidth val="35"/>
        <c:overlap val="-27"/>
        <c:axId val="1529487903"/>
        <c:axId val="1529496639"/>
      </c:barChart>
      <c:barChart>
        <c:barDir val="col"/>
        <c:grouping val="clustered"/>
        <c:varyColors val="0"/>
        <c:ser>
          <c:idx val="1"/>
          <c:order val="1"/>
          <c:tx>
            <c:strRef>
              <c:f>'JOB SATISFACTION1'!$C$3:$C$4</c:f>
              <c:strCache>
                <c:ptCount val="1"/>
                <c:pt idx="0">
                  <c:v>Yes</c:v>
                </c:pt>
              </c:strCache>
            </c:strRef>
          </c:tx>
          <c:spPr>
            <a:solidFill>
              <a:schemeClr val="accent2"/>
            </a:solidFill>
            <a:ln>
              <a:solidFill>
                <a:schemeClr val="lt1">
                  <a:shade val="50000"/>
                  <a:alpha val="98000"/>
                </a:schemeClr>
              </a:solidFill>
            </a:ln>
            <a:effectLst/>
          </c:spPr>
          <c:invertIfNegative val="0"/>
          <c:cat>
            <c:strRef>
              <c:f>'JOB SATISFACTION1'!$A$5:$A$9</c:f>
              <c:strCache>
                <c:ptCount val="4"/>
                <c:pt idx="0">
                  <c:v>1</c:v>
                </c:pt>
                <c:pt idx="1">
                  <c:v>2</c:v>
                </c:pt>
                <c:pt idx="2">
                  <c:v>3</c:v>
                </c:pt>
                <c:pt idx="3">
                  <c:v>4</c:v>
                </c:pt>
              </c:strCache>
            </c:strRef>
          </c:cat>
          <c:val>
            <c:numRef>
              <c:f>'JOB SATISFACTION1'!$C$5:$C$9</c:f>
              <c:numCache>
                <c:formatCode>0.00%</c:formatCode>
                <c:ptCount val="4"/>
                <c:pt idx="0">
                  <c:v>0.45454545454545453</c:v>
                </c:pt>
                <c:pt idx="1">
                  <c:v>0.1</c:v>
                </c:pt>
                <c:pt idx="2">
                  <c:v>0.2</c:v>
                </c:pt>
                <c:pt idx="3">
                  <c:v>0.11764705882352941</c:v>
                </c:pt>
              </c:numCache>
            </c:numRef>
          </c:val>
          <c:extLst>
            <c:ext xmlns:c16="http://schemas.microsoft.com/office/drawing/2014/chart" uri="{C3380CC4-5D6E-409C-BE32-E72D297353CC}">
              <c16:uniqueId val="{00000001-EBFF-4C49-B564-FC937019A656}"/>
            </c:ext>
          </c:extLst>
        </c:ser>
        <c:dLbls>
          <c:showLegendKey val="0"/>
          <c:showVal val="0"/>
          <c:showCatName val="0"/>
          <c:showSerName val="0"/>
          <c:showPercent val="0"/>
          <c:showBubbleSize val="0"/>
        </c:dLbls>
        <c:gapWidth val="35"/>
        <c:overlap val="-27"/>
        <c:axId val="1235409743"/>
        <c:axId val="1235404751"/>
      </c:barChart>
      <c:catAx>
        <c:axId val="152948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96639"/>
        <c:crosses val="autoZero"/>
        <c:auto val="1"/>
        <c:lblAlgn val="ctr"/>
        <c:lblOffset val="100"/>
        <c:noMultiLvlLbl val="0"/>
      </c:catAx>
      <c:valAx>
        <c:axId val="152949663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29487903"/>
        <c:crosses val="autoZero"/>
        <c:crossBetween val="between"/>
      </c:valAx>
      <c:valAx>
        <c:axId val="1235404751"/>
        <c:scaling>
          <c:orientation val="minMax"/>
          <c:max val="0.30000000000000004"/>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09743"/>
        <c:crosses val="max"/>
        <c:crossBetween val="between"/>
      </c:valAx>
      <c:catAx>
        <c:axId val="1235409743"/>
        <c:scaling>
          <c:orientation val="minMax"/>
        </c:scaling>
        <c:delete val="1"/>
        <c:axPos val="b"/>
        <c:numFmt formatCode="General" sourceLinked="1"/>
        <c:majorTickMark val="out"/>
        <c:minorTickMark val="none"/>
        <c:tickLblPos val="nextTo"/>
        <c:crossAx val="1235404751"/>
        <c:crosses val="autoZero"/>
        <c:auto val="1"/>
        <c:lblAlgn val="ctr"/>
        <c:lblOffset val="100"/>
        <c:noMultiLvlLbl val="0"/>
      </c:catAx>
      <c:spPr>
        <a:noFill/>
        <a:ln>
          <a:noFill/>
        </a:ln>
        <a:effectLst/>
      </c:spPr>
    </c:plotArea>
    <c:plotVisOnly val="1"/>
    <c:dispBlanksAs val="gap"/>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09492563429571"/>
          <c:y val="0.18981481481481483"/>
          <c:w val="0.63946062992125996"/>
          <c:h val="0.70278579760863213"/>
        </c:manualLayout>
      </c:layout>
      <c:bar3DChart>
        <c:barDir val="col"/>
        <c:grouping val="clustered"/>
        <c:varyColors val="0"/>
        <c:ser>
          <c:idx val="0"/>
          <c:order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'ENVIRONMENTAL SATISFACTION'!$J$6:$J$9</c:f>
              <c:strCache>
                <c:ptCount val="4"/>
                <c:pt idx="0">
                  <c:v>1</c:v>
                </c:pt>
                <c:pt idx="1">
                  <c:v>2</c:v>
                </c:pt>
                <c:pt idx="2">
                  <c:v>3</c:v>
                </c:pt>
                <c:pt idx="3">
                  <c:v>4</c:v>
                </c:pt>
              </c:strCache>
            </c:strRef>
          </c:cat>
          <c:val>
            <c:numRef>
              <c:f>'ENVIRONMENTAL SATISFACTION'!$K$6:$K$9</c:f>
              <c:numCache>
                <c:formatCode>0.00%</c:formatCode>
                <c:ptCount val="4"/>
                <c:pt idx="0">
                  <c:v>0.25352112676056338</c:v>
                </c:pt>
                <c:pt idx="1">
                  <c:v>0.14982578397212543</c:v>
                </c:pt>
                <c:pt idx="2">
                  <c:v>0.13686534216335541</c:v>
                </c:pt>
                <c:pt idx="3">
                  <c:v>0.13452914798206278</c:v>
                </c:pt>
              </c:numCache>
            </c:numRef>
          </c:val>
          <c:extLst>
            <c:ext xmlns:c16="http://schemas.microsoft.com/office/drawing/2014/chart" uri="{C3380CC4-5D6E-409C-BE32-E72D297353CC}">
              <c16:uniqueId val="{00000000-4D42-419C-B023-4E73F326F7B5}"/>
            </c:ext>
          </c:extLst>
        </c:ser>
        <c:dLbls>
          <c:showLegendKey val="0"/>
          <c:showVal val="0"/>
          <c:showCatName val="0"/>
          <c:showSerName val="0"/>
          <c:showPercent val="0"/>
          <c:showBubbleSize val="0"/>
        </c:dLbls>
        <c:gapWidth val="65"/>
        <c:shape val="box"/>
        <c:axId val="236382751"/>
        <c:axId val="236379423"/>
        <c:axId val="0"/>
      </c:bar3DChart>
      <c:catAx>
        <c:axId val="236382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6379423"/>
        <c:crosses val="autoZero"/>
        <c:auto val="1"/>
        <c:lblAlgn val="ctr"/>
        <c:lblOffset val="100"/>
        <c:noMultiLvlLbl val="0"/>
      </c:catAx>
      <c:valAx>
        <c:axId val="236379423"/>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3638275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STAFF</a:t>
            </a:r>
            <a:r>
              <a:rPr lang="en-US" baseline="0"/>
              <a:t> GENDER</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'DEPARTMENT AND GENDER'!$C$37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07-4199-A33E-57A12624DC0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07-4199-A33E-57A12624DC08}"/>
              </c:ext>
            </c:extLst>
          </c:dPt>
          <c:dLbls>
            <c:dLbl>
              <c:idx val="1"/>
              <c:layout>
                <c:manualLayout>
                  <c:x val="0.18082191780821916"/>
                  <c:y val="5.9452551325702846E-2"/>
                </c:manualLayout>
              </c:layout>
              <c:showLegendKey val="0"/>
              <c:showVal val="0"/>
              <c:showCatName val="1"/>
              <c:showSerName val="0"/>
              <c:showPercent val="1"/>
              <c:showBubbleSize val="0"/>
              <c:extLst>
                <c:ext xmlns:c15="http://schemas.microsoft.com/office/drawing/2012/chart" uri="{CE6537A1-D6FC-4f65-9D91-7224C49458BB}">
                  <c15:layout>
                    <c:manualLayout>
                      <c:w val="0.29452054794520549"/>
                      <c:h val="0.16843710629902445"/>
                    </c:manualLayout>
                  </c15:layout>
                </c:ext>
                <c:ext xmlns:c16="http://schemas.microsoft.com/office/drawing/2014/chart" uri="{C3380CC4-5D6E-409C-BE32-E72D297353CC}">
                  <c16:uniqueId val="{00000003-6407-4199-A33E-57A12624DC0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'DEPARTMENT AND GENDER'!$B$38:$B$39</c:f>
              <c:strCache>
                <c:ptCount val="2"/>
                <c:pt idx="0">
                  <c:v>MALE</c:v>
                </c:pt>
                <c:pt idx="1">
                  <c:v>FEMALE</c:v>
                </c:pt>
              </c:strCache>
            </c:strRef>
          </c:cat>
          <c:val>
            <c:numRef>
              <c:f>'DEPARTMENT AND GENDER'!$C$38:$C$39</c:f>
              <c:numCache>
                <c:formatCode>General</c:formatCode>
                <c:ptCount val="2"/>
                <c:pt idx="0">
                  <c:v>60</c:v>
                </c:pt>
                <c:pt idx="1">
                  <c:v>40</c:v>
                </c:pt>
              </c:numCache>
            </c:numRef>
          </c:val>
          <c:extLst>
            <c:ext xmlns:c16="http://schemas.microsoft.com/office/drawing/2014/chart" uri="{C3380CC4-5D6E-409C-BE32-E72D297353CC}">
              <c16:uniqueId val="{00000004-6407-4199-A33E-57A12624DC08}"/>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65717746820112"/>
          <c:y val="0.15327154193552689"/>
          <c:w val="0.63894205532000803"/>
          <c:h val="0.75397131712690968"/>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ACF-4389-BFB0-DCA893E58A8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ACF-4389-BFB0-DCA893E58A80}"/>
              </c:ext>
            </c:extLst>
          </c:dPt>
          <c:dLbls>
            <c:dLbl>
              <c:idx val="0"/>
              <c:layout>
                <c:manualLayout>
                  <c:x val="-0.17102342014940441"/>
                  <c:y val="-1.1694050624346612E-2"/>
                </c:manualLayout>
              </c:layout>
              <c:tx>
                <c:rich>
                  <a:bodyPr/>
                  <a:lstStyle/>
                  <a:p>
                    <a:fld id="{6AF64D6D-9557-47CF-9B7C-910278C05D86}" type="CATEGORYNAME">
                      <a:rPr lang="en-US"/>
                      <a:pPr/>
                      <a:t>[CATEGORY NAME]</a:t>
                    </a:fld>
                    <a:r>
                      <a:rPr lang="en-US" baseline="0"/>
                      <a:t>
</a:t>
                    </a:r>
                    <a:fld id="{72736D24-C716-460E-AFBF-0D16BA0591D6}" type="VALUE">
                      <a:rPr lang="en-US" baseline="0"/>
                      <a:pPr/>
                      <a:t>[VALUE]</a:t>
                    </a:fld>
                    <a:endParaRPr lang="en-US" baseline="0"/>
                  </a:p>
                </c:rich>
              </c:tx>
              <c:showLegendKey val="0"/>
              <c:showVal val="0"/>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FACF-4389-BFB0-DCA893E58A80}"/>
                </c:ext>
              </c:extLst>
            </c:dLbl>
            <c:dLbl>
              <c:idx val="1"/>
              <c:layout>
                <c:manualLayout>
                  <c:x val="0.22448092065414896"/>
                  <c:y val="-1.2023782636083601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24B03CE8-0EDA-4FBF-A308-5C13C7F2E7B9}" type="CATEGORYNAME">
                      <a:rPr lang="en-US"/>
                      <a:pPr>
                        <a:defRPr/>
                      </a:pPr>
                      <a:t>[CATEGORY NAME]</a:t>
                    </a:fld>
                    <a:r>
                      <a:rPr lang="en-US" baseline="0"/>
                      <a:t>
</a:t>
                    </a:r>
                    <a:fld id="{D64BC78A-5C87-4E6A-8016-1F2F7A782654}" type="VALUE">
                      <a:rPr lang="en-US" baseline="0"/>
                      <a:pPr>
                        <a:defRPr/>
                      </a:pPr>
                      <a:t>[VALUE]</a:t>
                    </a:fld>
                    <a:endParaRPr lang="en-US" baseline="0"/>
                  </a:p>
                </c:rich>
              </c:tx>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794871794871795"/>
                      <c:h val="0.21552227739992014"/>
                    </c:manualLayout>
                  </c15:layout>
                  <c15:dlblFieldTable/>
                  <c15:showDataLabelsRange val="0"/>
                </c:ext>
                <c:ext xmlns:c16="http://schemas.microsoft.com/office/drawing/2014/chart" uri="{C3380CC4-5D6E-409C-BE32-E72D297353CC}">
                  <c16:uniqueId val="{00000003-FACF-4389-BFB0-DCA893E58A80}"/>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 AND GENDER'!$C$49:$C$50</c:f>
              <c:strCache>
                <c:ptCount val="2"/>
                <c:pt idx="0">
                  <c:v>MALE</c:v>
                </c:pt>
                <c:pt idx="1">
                  <c:v>FEMALE</c:v>
                </c:pt>
              </c:strCache>
            </c:strRef>
          </c:cat>
          <c:val>
            <c:numRef>
              <c:f>'DEPARTMENT AND GENDER'!$D$49:$D$50</c:f>
              <c:numCache>
                <c:formatCode>0%</c:formatCode>
                <c:ptCount val="2"/>
                <c:pt idx="0">
                  <c:v>0.17</c:v>
                </c:pt>
                <c:pt idx="1">
                  <c:v>0.15</c:v>
                </c:pt>
              </c:numCache>
            </c:numRef>
          </c:val>
          <c:extLst>
            <c:ext xmlns:c16="http://schemas.microsoft.com/office/drawing/2014/chart" uri="{C3380CC4-5D6E-409C-BE32-E72D297353CC}">
              <c16:uniqueId val="{00000004-FACF-4389-BFB0-DCA893E58A8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ATTRIUTION PROJECT1.xlsx]AGE RANGE!PivotTable6</c:name>
    <c:fmtId val="19"/>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'AGE RANGE'!$B$3:$B$4</c:f>
              <c:strCache>
                <c:ptCount val="1"/>
                <c:pt idx="0">
                  <c:v>No</c:v>
                </c:pt>
              </c:strCache>
            </c:strRef>
          </c:tx>
          <c:spPr>
            <a:solidFill>
              <a:schemeClr val="accent1"/>
            </a:solidFill>
            <a:ln>
              <a:noFill/>
            </a:ln>
            <a:effectLst/>
            <a:sp3d/>
          </c:spPr>
          <c:invertIfNegative val="0"/>
          <c:cat>
            <c:strRef>
              <c:f>'AGE RANGE'!$A$5:$A$10</c:f>
              <c:strCache>
                <c:ptCount val="5"/>
                <c:pt idx="0">
                  <c:v>18-27</c:v>
                </c:pt>
                <c:pt idx="1">
                  <c:v>28-37</c:v>
                </c:pt>
                <c:pt idx="2">
                  <c:v>38-47</c:v>
                </c:pt>
                <c:pt idx="3">
                  <c:v>48-57</c:v>
                </c:pt>
                <c:pt idx="4">
                  <c:v>58-67</c:v>
                </c:pt>
              </c:strCache>
            </c:strRef>
          </c:cat>
          <c:val>
            <c:numRef>
              <c:f>'AGE RANGE'!$B$5:$B$10</c:f>
              <c:numCache>
                <c:formatCode>General</c:formatCode>
                <c:ptCount val="5"/>
                <c:pt idx="0">
                  <c:v>151</c:v>
                </c:pt>
                <c:pt idx="1">
                  <c:v>525</c:v>
                </c:pt>
                <c:pt idx="2">
                  <c:v>368</c:v>
                </c:pt>
                <c:pt idx="3">
                  <c:v>165</c:v>
                </c:pt>
                <c:pt idx="4">
                  <c:v>24</c:v>
                </c:pt>
              </c:numCache>
            </c:numRef>
          </c:val>
          <c:extLst>
            <c:ext xmlns:c16="http://schemas.microsoft.com/office/drawing/2014/chart" uri="{C3380CC4-5D6E-409C-BE32-E72D297353CC}">
              <c16:uniqueId val="{00000000-3CF0-473F-9AEF-77C91CDBF3A9}"/>
            </c:ext>
          </c:extLst>
        </c:ser>
        <c:ser>
          <c:idx val="1"/>
          <c:order val="1"/>
          <c:tx>
            <c:strRef>
              <c:f>'AGE RANGE'!$C$3:$C$4</c:f>
              <c:strCache>
                <c:ptCount val="1"/>
                <c:pt idx="0">
                  <c:v>Yes</c:v>
                </c:pt>
              </c:strCache>
            </c:strRef>
          </c:tx>
          <c:spPr>
            <a:solidFill>
              <a:schemeClr val="accent2"/>
            </a:solidFill>
            <a:ln>
              <a:noFill/>
            </a:ln>
            <a:effectLst/>
            <a:sp3d/>
          </c:spPr>
          <c:invertIfNegative val="0"/>
          <c:cat>
            <c:strRef>
              <c:f>'AGE RANGE'!$A$5:$A$10</c:f>
              <c:strCache>
                <c:ptCount val="5"/>
                <c:pt idx="0">
                  <c:v>18-27</c:v>
                </c:pt>
                <c:pt idx="1">
                  <c:v>28-37</c:v>
                </c:pt>
                <c:pt idx="2">
                  <c:v>38-47</c:v>
                </c:pt>
                <c:pt idx="3">
                  <c:v>48-57</c:v>
                </c:pt>
                <c:pt idx="4">
                  <c:v>58-67</c:v>
                </c:pt>
              </c:strCache>
            </c:strRef>
          </c:cat>
          <c:val>
            <c:numRef>
              <c:f>'AGE RANGE'!$C$5:$C$10</c:f>
              <c:numCache>
                <c:formatCode>General</c:formatCode>
                <c:ptCount val="5"/>
                <c:pt idx="0">
                  <c:v>59</c:v>
                </c:pt>
                <c:pt idx="1">
                  <c:v>113</c:v>
                </c:pt>
                <c:pt idx="2">
                  <c:v>38</c:v>
                </c:pt>
                <c:pt idx="3">
                  <c:v>22</c:v>
                </c:pt>
                <c:pt idx="4">
                  <c:v>5</c:v>
                </c:pt>
              </c:numCache>
            </c:numRef>
          </c:val>
          <c:extLst>
            <c:ext xmlns:c16="http://schemas.microsoft.com/office/drawing/2014/chart" uri="{C3380CC4-5D6E-409C-BE32-E72D297353CC}">
              <c16:uniqueId val="{00000005-3CF0-473F-9AEF-77C91CDBF3A9}"/>
            </c:ext>
          </c:extLst>
        </c:ser>
        <c:dLbls>
          <c:showLegendKey val="0"/>
          <c:showVal val="0"/>
          <c:showCatName val="0"/>
          <c:showSerName val="0"/>
          <c:showPercent val="0"/>
          <c:showBubbleSize val="0"/>
        </c:dLbls>
        <c:gapWidth val="150"/>
        <c:shape val="box"/>
        <c:axId val="390997872"/>
        <c:axId val="390992880"/>
        <c:axId val="0"/>
      </c:bar3DChart>
      <c:catAx>
        <c:axId val="39099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92880"/>
        <c:crosses val="autoZero"/>
        <c:auto val="1"/>
        <c:lblAlgn val="ctr"/>
        <c:lblOffset val="100"/>
        <c:noMultiLvlLbl val="0"/>
      </c:catAx>
      <c:valAx>
        <c:axId val="39099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97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VS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'AGE RANGE'!$B$12</c:f>
              <c:strCache>
                <c:ptCount val="1"/>
                <c:pt idx="0">
                  <c:v>ATTRITION PERCENTAGE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'AGE RANGE'!$A$13:$A$17</c:f>
              <c:strCache>
                <c:ptCount val="5"/>
                <c:pt idx="0">
                  <c:v>18-27</c:v>
                </c:pt>
                <c:pt idx="1">
                  <c:v>28-37</c:v>
                </c:pt>
                <c:pt idx="2">
                  <c:v>38-47</c:v>
                </c:pt>
                <c:pt idx="3">
                  <c:v>48-57</c:v>
                </c:pt>
                <c:pt idx="4">
                  <c:v>58-67</c:v>
                </c:pt>
              </c:strCache>
            </c:strRef>
          </c:cat>
          <c:val>
            <c:numRef>
              <c:f>'AGE RANGE'!$B$13:$B$17</c:f>
              <c:numCache>
                <c:formatCode>0.00%</c:formatCode>
                <c:ptCount val="5"/>
                <c:pt idx="0">
                  <c:v>4.0136054421768708E-2</c:v>
                </c:pt>
                <c:pt idx="1">
                  <c:v>7.6870748299319724E-2</c:v>
                </c:pt>
                <c:pt idx="2">
                  <c:v>2.5850340136054421E-2</c:v>
                </c:pt>
                <c:pt idx="3">
                  <c:v>1.4965986394557823E-2</c:v>
                </c:pt>
                <c:pt idx="4">
                  <c:v>3.4013605442176869E-3</c:v>
                </c:pt>
              </c:numCache>
            </c:numRef>
          </c:val>
          <c:extLst>
            <c:ext xmlns:c16="http://schemas.microsoft.com/office/drawing/2014/chart" uri="{C3380CC4-5D6E-409C-BE32-E72D297353CC}">
              <c16:uniqueId val="{00000000-4A9A-4B08-A8E1-6FEB22BFD779}"/>
            </c:ext>
          </c:extLst>
        </c:ser>
        <c:dLbls>
          <c:showLegendKey val="0"/>
          <c:showVal val="0"/>
          <c:showCatName val="0"/>
          <c:showSerName val="0"/>
          <c:showPercent val="0"/>
          <c:showBubbleSize val="0"/>
        </c:dLbls>
        <c:gapWidth val="65"/>
        <c:shape val="box"/>
        <c:axId val="352534208"/>
        <c:axId val="352531712"/>
        <c:axId val="0"/>
      </c:bar3DChart>
      <c:catAx>
        <c:axId val="3525342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2531712"/>
        <c:crosses val="autoZero"/>
        <c:auto val="1"/>
        <c:lblAlgn val="ctr"/>
        <c:lblOffset val="100"/>
        <c:noMultiLvlLbl val="0"/>
      </c:catAx>
      <c:valAx>
        <c:axId val="35253171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253420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RANGE VS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2"/>
            </a:solidFill>
            <a:ln>
              <a:noFill/>
            </a:ln>
            <a:effectLst/>
          </c:spPr>
          <c:invertIfNegative val="0"/>
          <c:cat>
            <c:strRef>
              <c:f>'AGE RANGE'!$E$32:$E$36</c:f>
              <c:strCache>
                <c:ptCount val="5"/>
                <c:pt idx="0">
                  <c:v>18-27</c:v>
                </c:pt>
                <c:pt idx="1">
                  <c:v>28-37</c:v>
                </c:pt>
                <c:pt idx="2">
                  <c:v>38-47</c:v>
                </c:pt>
                <c:pt idx="3">
                  <c:v>48-57</c:v>
                </c:pt>
                <c:pt idx="4">
                  <c:v>58-67</c:v>
                </c:pt>
              </c:strCache>
            </c:strRef>
          </c:cat>
          <c:val>
            <c:numRef>
              <c:f>'AGE RANGE'!$F$32:$F$36</c:f>
              <c:numCache>
                <c:formatCode>"$"#,##0.00</c:formatCode>
                <c:ptCount val="5"/>
                <c:pt idx="0">
                  <c:v>3354.9190476190474</c:v>
                </c:pt>
                <c:pt idx="1">
                  <c:v>5182.3699059561131</c:v>
                </c:pt>
                <c:pt idx="2">
                  <c:v>7977.5394088669955</c:v>
                </c:pt>
                <c:pt idx="3">
                  <c:v>10844.604278074867</c:v>
                </c:pt>
                <c:pt idx="4">
                  <c:v>9710.4137931034475</c:v>
                </c:pt>
              </c:numCache>
            </c:numRef>
          </c:val>
          <c:extLst>
            <c:ext xmlns:c16="http://schemas.microsoft.com/office/drawing/2014/chart" uri="{C3380CC4-5D6E-409C-BE32-E72D297353CC}">
              <c16:uniqueId val="{00000000-A7B9-42BD-BBB1-E3C2223FAEEC}"/>
            </c:ext>
          </c:extLst>
        </c:ser>
        <c:dLbls>
          <c:showLegendKey val="0"/>
          <c:showVal val="0"/>
          <c:showCatName val="0"/>
          <c:showSerName val="0"/>
          <c:showPercent val="0"/>
          <c:showBubbleSize val="0"/>
        </c:dLbls>
        <c:gapWidth val="182"/>
        <c:axId val="1254948191"/>
        <c:axId val="1254948607"/>
      </c:barChart>
      <c:catAx>
        <c:axId val="125494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48607"/>
        <c:crosses val="autoZero"/>
        <c:auto val="1"/>
        <c:lblAlgn val="ctr"/>
        <c:lblOffset val="100"/>
        <c:noMultiLvlLbl val="0"/>
      </c:catAx>
      <c:valAx>
        <c:axId val="1254948607"/>
        <c:scaling>
          <c:orientation val="minMax"/>
        </c:scaling>
        <c:delete val="0"/>
        <c:axPos val="b"/>
        <c:majorGridlines>
          <c:spPr>
            <a:ln w="9525" cap="flat" cmpd="sng" algn="ctr">
              <a:solidFill>
                <a:srgbClr val="FF0000"/>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48191"/>
        <c:crosses val="autoZero"/>
        <c:crossBetween val="between"/>
      </c:valAx>
      <c:spPr>
        <a:noFill/>
        <a:ln>
          <a:noFill/>
        </a:ln>
        <a:effectLst/>
      </c:spPr>
    </c:plotArea>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ATTRIUTION PROJECT1.xlsx]INCOME!PivotTable7</c:name>
    <c:fmtId val="4"/>
  </c:pivotSource>
  <c:chart>
    <c:autoTitleDeleted val="1"/>
    <c:pivotFmts>
      <c:pivotFmt>
        <c:idx val="0"/>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19225721784777"/>
          <c:y val="0.10185185185185185"/>
          <c:w val="0.81114107611548558"/>
          <c:h val="0.64734725867599885"/>
        </c:manualLayout>
      </c:layout>
      <c:bar3DChart>
        <c:barDir val="col"/>
        <c:grouping val="clustered"/>
        <c:varyColors val="0"/>
        <c:ser>
          <c:idx val="0"/>
          <c:order val="0"/>
          <c:tx>
            <c:strRef>
              <c:f>INCOME!$B$3:$B$4</c:f>
              <c:strCache>
                <c:ptCount val="1"/>
                <c:pt idx="0">
                  <c:v>NUMBER </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INCOME!$A$5:$A$14</c:f>
              <c:strCache>
                <c:ptCount val="9"/>
                <c:pt idx="0">
                  <c:v>1009-3008</c:v>
                </c:pt>
                <c:pt idx="1">
                  <c:v>3009-5008</c:v>
                </c:pt>
                <c:pt idx="2">
                  <c:v>5009-7008</c:v>
                </c:pt>
                <c:pt idx="3">
                  <c:v>7009-9008</c:v>
                </c:pt>
                <c:pt idx="4">
                  <c:v>9009-11008</c:v>
                </c:pt>
                <c:pt idx="5">
                  <c:v>11009-13008</c:v>
                </c:pt>
                <c:pt idx="6">
                  <c:v>13009-15008</c:v>
                </c:pt>
                <c:pt idx="7">
                  <c:v>17009-19008</c:v>
                </c:pt>
                <c:pt idx="8">
                  <c:v>19009-21008</c:v>
                </c:pt>
              </c:strCache>
            </c:strRef>
          </c:cat>
          <c:val>
            <c:numRef>
              <c:f>INCOME!$B$5:$B$14</c:f>
              <c:numCache>
                <c:formatCode>_(* #,##0.00_);_(* \(#,##0.00\);_(* "-"??_);_(@_)</c:formatCode>
                <c:ptCount val="9"/>
                <c:pt idx="0">
                  <c:v>113</c:v>
                </c:pt>
                <c:pt idx="1">
                  <c:v>50</c:v>
                </c:pt>
                <c:pt idx="2">
                  <c:v>27</c:v>
                </c:pt>
                <c:pt idx="3">
                  <c:v>13</c:v>
                </c:pt>
                <c:pt idx="4">
                  <c:v>22</c:v>
                </c:pt>
                <c:pt idx="5">
                  <c:v>3</c:v>
                </c:pt>
                <c:pt idx="6">
                  <c:v>4</c:v>
                </c:pt>
                <c:pt idx="7">
                  <c:v>1</c:v>
                </c:pt>
                <c:pt idx="8">
                  <c:v>4</c:v>
                </c:pt>
              </c:numCache>
            </c:numRef>
          </c:val>
          <c:extLst>
            <c:ext xmlns:c16="http://schemas.microsoft.com/office/drawing/2014/chart" uri="{C3380CC4-5D6E-409C-BE32-E72D297353CC}">
              <c16:uniqueId val="{00000000-10D9-487E-9773-8A8E7848CEF6}"/>
            </c:ext>
          </c:extLst>
        </c:ser>
        <c:dLbls>
          <c:showLegendKey val="0"/>
          <c:showVal val="0"/>
          <c:showCatName val="0"/>
          <c:showSerName val="0"/>
          <c:showPercent val="0"/>
          <c:showBubbleSize val="0"/>
        </c:dLbls>
        <c:gapWidth val="65"/>
        <c:shape val="box"/>
        <c:axId val="352546272"/>
        <c:axId val="352533376"/>
        <c:axId val="0"/>
      </c:bar3DChart>
      <c:catAx>
        <c:axId val="3525462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2533376"/>
        <c:crosses val="autoZero"/>
        <c:auto val="1"/>
        <c:lblAlgn val="ctr"/>
        <c:lblOffset val="100"/>
        <c:noMultiLvlLbl val="0"/>
      </c:catAx>
      <c:valAx>
        <c:axId val="352533376"/>
        <c:scaling>
          <c:orientation val="minMax"/>
        </c:scaling>
        <c:delete val="0"/>
        <c:axPos val="l"/>
        <c:majorGridlines>
          <c:spPr>
            <a:ln w="9525" cap="flat" cmpd="sng" algn="ctr">
              <a:solidFill>
                <a:schemeClr val="dk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25462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numRef>
              <c:f>'JOB SATISFACTION1'!$A$12:$A$15</c:f>
              <c:numCache>
                <c:formatCode>General</c:formatCode>
                <c:ptCount val="4"/>
              </c:numCache>
            </c:numRef>
          </c:cat>
          <c:val>
            <c:numRef>
              <c:f>'JOB SATISFACTION1'!$B$12:$B$15</c:f>
            </c:numRef>
          </c:val>
          <c:extLst>
            <c:ext xmlns:c16="http://schemas.microsoft.com/office/drawing/2014/chart" uri="{C3380CC4-5D6E-409C-BE32-E72D297353CC}">
              <c16:uniqueId val="{00000000-D60B-4F82-995E-7C4E9AAA6E45}"/>
            </c:ext>
          </c:extLst>
        </c:ser>
        <c:dLbls>
          <c:showLegendKey val="0"/>
          <c:showVal val="0"/>
          <c:showCatName val="0"/>
          <c:showSerName val="0"/>
          <c:showPercent val="0"/>
          <c:showBubbleSize val="0"/>
        </c:dLbls>
        <c:gapWidth val="65"/>
        <c:shape val="box"/>
        <c:axId val="1529492479"/>
        <c:axId val="1529489151"/>
        <c:axId val="0"/>
      </c:bar3DChart>
      <c:catAx>
        <c:axId val="1529492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29489151"/>
        <c:crosses val="autoZero"/>
        <c:auto val="1"/>
        <c:lblAlgn val="ctr"/>
        <c:lblOffset val="100"/>
        <c:noMultiLvlLbl val="0"/>
      </c:catAx>
      <c:valAx>
        <c:axId val="1529489151"/>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29492479"/>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ATTRIUTION PROJECT1.xlsx]JOB SATISFACTION1!PivotTable3</c:name>
    <c:fmtId val="15"/>
  </c:pivotSource>
  <c:chart>
    <c:autoTitleDeleted val="0"/>
    <c:pivotFmts>
      <c:pivotFmt>
        <c:idx val="0"/>
        <c:spPr>
          <a:noFill/>
          <a:ln>
            <a:noFill/>
          </a:ln>
          <a:effectLst/>
        </c:spPr>
        <c:marker>
          <c:symbol val="none"/>
        </c:marker>
      </c:pivotFmt>
      <c:pivotFmt>
        <c:idx val="1"/>
        <c:spPr>
          <a:solidFill>
            <a:schemeClr val="accent1"/>
          </a:solidFill>
          <a:ln>
            <a:solidFill>
              <a:schemeClr val="lt1">
                <a:shade val="50000"/>
                <a:alpha val="98000"/>
              </a:schemeClr>
            </a:solidFill>
          </a:ln>
          <a:effectLst/>
        </c:spPr>
        <c:marker>
          <c:symbol val="none"/>
        </c:marker>
      </c:pivotFmt>
    </c:pivotFmts>
    <c:plotArea>
      <c:layout/>
      <c:barChart>
        <c:barDir val="col"/>
        <c:grouping val="clustered"/>
        <c:varyColors val="0"/>
        <c:ser>
          <c:idx val="0"/>
          <c:order val="0"/>
          <c:tx>
            <c:strRef>
              <c:f>'JOB SATISFACTION1'!$B$3:$B$4</c:f>
              <c:strCache>
                <c:ptCount val="1"/>
                <c:pt idx="0">
                  <c:v>No</c:v>
                </c:pt>
              </c:strCache>
            </c:strRef>
          </c:tx>
          <c:spPr>
            <a:noFill/>
            <a:ln>
              <a:noFill/>
            </a:ln>
            <a:effectLst/>
          </c:spPr>
          <c:invertIfNegative val="0"/>
          <c:cat>
            <c:strRef>
              <c:f>'JOB SATISFACTION1'!$A$5:$A$9</c:f>
              <c:strCache>
                <c:ptCount val="4"/>
                <c:pt idx="0">
                  <c:v>1</c:v>
                </c:pt>
                <c:pt idx="1">
                  <c:v>2</c:v>
                </c:pt>
                <c:pt idx="2">
                  <c:v>3</c:v>
                </c:pt>
                <c:pt idx="3">
                  <c:v>4</c:v>
                </c:pt>
              </c:strCache>
            </c:strRef>
          </c:cat>
          <c:val>
            <c:numRef>
              <c:f>'JOB SATISFACTION1'!$B$5:$B$9</c:f>
              <c:numCache>
                <c:formatCode>0.00%</c:formatCode>
                <c:ptCount val="4"/>
                <c:pt idx="0">
                  <c:v>0.54545454545454541</c:v>
                </c:pt>
                <c:pt idx="1">
                  <c:v>0.9</c:v>
                </c:pt>
                <c:pt idx="2">
                  <c:v>0.8</c:v>
                </c:pt>
                <c:pt idx="3">
                  <c:v>0.88235294117647056</c:v>
                </c:pt>
              </c:numCache>
            </c:numRef>
          </c:val>
          <c:extLst>
            <c:ext xmlns:c16="http://schemas.microsoft.com/office/drawing/2014/chart" uri="{C3380CC4-5D6E-409C-BE32-E72D297353CC}">
              <c16:uniqueId val="{00000000-C5F5-4599-8081-FCEC7C2494F8}"/>
            </c:ext>
          </c:extLst>
        </c:ser>
        <c:dLbls>
          <c:showLegendKey val="0"/>
          <c:showVal val="0"/>
          <c:showCatName val="0"/>
          <c:showSerName val="0"/>
          <c:showPercent val="0"/>
          <c:showBubbleSize val="0"/>
        </c:dLbls>
        <c:gapWidth val="35"/>
        <c:overlap val="-27"/>
        <c:axId val="1529487903"/>
        <c:axId val="1529496639"/>
      </c:barChart>
      <c:barChart>
        <c:barDir val="col"/>
        <c:grouping val="clustered"/>
        <c:varyColors val="0"/>
        <c:ser>
          <c:idx val="1"/>
          <c:order val="1"/>
          <c:tx>
            <c:strRef>
              <c:f>'JOB SATISFACTION1'!$C$3:$C$4</c:f>
              <c:strCache>
                <c:ptCount val="1"/>
                <c:pt idx="0">
                  <c:v>Yes</c:v>
                </c:pt>
              </c:strCache>
            </c:strRef>
          </c:tx>
          <c:spPr>
            <a:solidFill>
              <a:schemeClr val="accent2"/>
            </a:solidFill>
            <a:ln>
              <a:solidFill>
                <a:schemeClr val="lt1">
                  <a:shade val="50000"/>
                  <a:alpha val="98000"/>
                </a:schemeClr>
              </a:solidFill>
            </a:ln>
            <a:effectLst/>
          </c:spPr>
          <c:invertIfNegative val="0"/>
          <c:cat>
            <c:strRef>
              <c:f>'JOB SATISFACTION1'!$A$5:$A$9</c:f>
              <c:strCache>
                <c:ptCount val="4"/>
                <c:pt idx="0">
                  <c:v>1</c:v>
                </c:pt>
                <c:pt idx="1">
                  <c:v>2</c:v>
                </c:pt>
                <c:pt idx="2">
                  <c:v>3</c:v>
                </c:pt>
                <c:pt idx="3">
                  <c:v>4</c:v>
                </c:pt>
              </c:strCache>
            </c:strRef>
          </c:cat>
          <c:val>
            <c:numRef>
              <c:f>'JOB SATISFACTION1'!$C$5:$C$9</c:f>
              <c:numCache>
                <c:formatCode>0.00%</c:formatCode>
                <c:ptCount val="4"/>
                <c:pt idx="0">
                  <c:v>0.45454545454545453</c:v>
                </c:pt>
                <c:pt idx="1">
                  <c:v>0.1</c:v>
                </c:pt>
                <c:pt idx="2">
                  <c:v>0.2</c:v>
                </c:pt>
                <c:pt idx="3">
                  <c:v>0.11764705882352941</c:v>
                </c:pt>
              </c:numCache>
            </c:numRef>
          </c:val>
          <c:extLst>
            <c:ext xmlns:c16="http://schemas.microsoft.com/office/drawing/2014/chart" uri="{C3380CC4-5D6E-409C-BE32-E72D297353CC}">
              <c16:uniqueId val="{00000001-C5F5-4599-8081-FCEC7C2494F8}"/>
            </c:ext>
          </c:extLst>
        </c:ser>
        <c:dLbls>
          <c:showLegendKey val="0"/>
          <c:showVal val="0"/>
          <c:showCatName val="0"/>
          <c:showSerName val="0"/>
          <c:showPercent val="0"/>
          <c:showBubbleSize val="0"/>
        </c:dLbls>
        <c:gapWidth val="35"/>
        <c:overlap val="-27"/>
        <c:axId val="1235409743"/>
        <c:axId val="1235404751"/>
      </c:barChart>
      <c:catAx>
        <c:axId val="152948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96639"/>
        <c:crosses val="autoZero"/>
        <c:auto val="1"/>
        <c:lblAlgn val="ctr"/>
        <c:lblOffset val="100"/>
        <c:noMultiLvlLbl val="0"/>
      </c:catAx>
      <c:valAx>
        <c:axId val="152949663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29487903"/>
        <c:crosses val="autoZero"/>
        <c:crossBetween val="between"/>
      </c:valAx>
      <c:valAx>
        <c:axId val="1235404751"/>
        <c:scaling>
          <c:orientation val="minMax"/>
          <c:max val="0.30000000000000004"/>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09743"/>
        <c:crosses val="max"/>
        <c:crossBetween val="between"/>
      </c:valAx>
      <c:catAx>
        <c:axId val="1235409743"/>
        <c:scaling>
          <c:orientation val="minMax"/>
        </c:scaling>
        <c:delete val="1"/>
        <c:axPos val="b"/>
        <c:numFmt formatCode="General" sourceLinked="1"/>
        <c:majorTickMark val="out"/>
        <c:minorTickMark val="none"/>
        <c:tickLblPos val="nextTo"/>
        <c:crossAx val="1235404751"/>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09492563429571"/>
          <c:y val="0.18981481481481483"/>
          <c:w val="0.63946062992125996"/>
          <c:h val="0.70278579760863213"/>
        </c:manualLayout>
      </c:layout>
      <c:bar3DChart>
        <c:barDir val="col"/>
        <c:grouping val="clustered"/>
        <c:varyColors val="0"/>
        <c:ser>
          <c:idx val="0"/>
          <c:order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'ENVIRONMENTAL SATISFACTION'!$J$6:$J$9</c:f>
              <c:strCache>
                <c:ptCount val="4"/>
                <c:pt idx="0">
                  <c:v>1</c:v>
                </c:pt>
                <c:pt idx="1">
                  <c:v>2</c:v>
                </c:pt>
                <c:pt idx="2">
                  <c:v>3</c:v>
                </c:pt>
                <c:pt idx="3">
                  <c:v>4</c:v>
                </c:pt>
              </c:strCache>
            </c:strRef>
          </c:cat>
          <c:val>
            <c:numRef>
              <c:f>'ENVIRONMENTAL SATISFACTION'!$K$6:$K$9</c:f>
              <c:numCache>
                <c:formatCode>0.00%</c:formatCode>
                <c:ptCount val="4"/>
                <c:pt idx="0">
                  <c:v>0.25352112676056338</c:v>
                </c:pt>
                <c:pt idx="1">
                  <c:v>0.14982578397212543</c:v>
                </c:pt>
                <c:pt idx="2">
                  <c:v>0.13686534216335541</c:v>
                </c:pt>
                <c:pt idx="3">
                  <c:v>0.13452914798206278</c:v>
                </c:pt>
              </c:numCache>
            </c:numRef>
          </c:val>
          <c:extLst>
            <c:ext xmlns:c16="http://schemas.microsoft.com/office/drawing/2014/chart" uri="{C3380CC4-5D6E-409C-BE32-E72D297353CC}">
              <c16:uniqueId val="{00000000-7E81-40F4-8B34-0C54BEA4A6EC}"/>
            </c:ext>
          </c:extLst>
        </c:ser>
        <c:dLbls>
          <c:showLegendKey val="0"/>
          <c:showVal val="0"/>
          <c:showCatName val="0"/>
          <c:showSerName val="0"/>
          <c:showPercent val="0"/>
          <c:showBubbleSize val="0"/>
        </c:dLbls>
        <c:gapWidth val="65"/>
        <c:shape val="box"/>
        <c:axId val="236382751"/>
        <c:axId val="236379423"/>
        <c:axId val="0"/>
      </c:bar3DChart>
      <c:catAx>
        <c:axId val="236382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6379423"/>
        <c:crosses val="autoZero"/>
        <c:auto val="1"/>
        <c:lblAlgn val="ctr"/>
        <c:lblOffset val="100"/>
        <c:noMultiLvlLbl val="0"/>
      </c:catAx>
      <c:valAx>
        <c:axId val="236379423"/>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3638275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JOB</a:t>
            </a:r>
            <a:r>
              <a:rPr lang="en-US" baseline="0">
                <a:solidFill>
                  <a:schemeClr val="bg1"/>
                </a:solidFill>
              </a:rPr>
              <a:t> SATISFACTION AND MONTHLY SALARY</a:t>
            </a:r>
            <a:endParaRPr lang="en-US">
              <a:solidFill>
                <a:schemeClr val="bg1"/>
              </a:solidFill>
            </a:endParaRPr>
          </a:p>
        </c:rich>
      </c:tx>
      <c:layout>
        <c:manualLayout>
          <c:xMode val="edge"/>
          <c:yMode val="edge"/>
          <c:x val="0.24517984547706187"/>
          <c:y val="0.12828428264648736"/>
        </c:manualLayout>
      </c:layout>
      <c:overlay val="0"/>
      <c:spPr>
        <a:solidFill>
          <a:schemeClr val="bg2">
            <a:lumMod val="5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4"/>
              <c:pt idx="0">
                <c:v>1</c:v>
              </c:pt>
              <c:pt idx="1">
                <c:v>2</c:v>
              </c:pt>
              <c:pt idx="2">
                <c:v>3</c:v>
              </c:pt>
              <c:pt idx="3">
                <c:v>4</c:v>
              </c:pt>
            </c:strLit>
          </c:cat>
          <c:val>
            <c:numLit>
              <c:formatCode>General</c:formatCode>
              <c:ptCount val="4"/>
              <c:pt idx="0">
                <c:v>6561.5709342560558</c:v>
              </c:pt>
              <c:pt idx="1">
                <c:v>6527.3285714285712</c:v>
              </c:pt>
              <c:pt idx="2">
                <c:v>6480.4954751131218</c:v>
              </c:pt>
              <c:pt idx="3">
                <c:v>6472.7320261437908</c:v>
              </c:pt>
            </c:numLit>
          </c:val>
          <c:extLst>
            <c:ext xmlns:c16="http://schemas.microsoft.com/office/drawing/2014/chart" uri="{C3380CC4-5D6E-409C-BE32-E72D297353CC}">
              <c16:uniqueId val="{00000000-DE0F-4838-B894-BB4B9A2FFD25}"/>
            </c:ext>
          </c:extLst>
        </c:ser>
        <c:dLbls>
          <c:showLegendKey val="0"/>
          <c:showVal val="0"/>
          <c:showCatName val="0"/>
          <c:showSerName val="0"/>
          <c:showPercent val="0"/>
          <c:showBubbleSize val="0"/>
        </c:dLbls>
        <c:gapWidth val="65"/>
        <c:shape val="box"/>
        <c:axId val="1008113904"/>
        <c:axId val="1008113072"/>
        <c:axId val="0"/>
      </c:bar3DChart>
      <c:catAx>
        <c:axId val="10081139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8113072"/>
        <c:crosses val="autoZero"/>
        <c:auto val="1"/>
        <c:lblAlgn val="ctr"/>
        <c:lblOffset val="100"/>
        <c:noMultiLvlLbl val="0"/>
      </c:catAx>
      <c:valAx>
        <c:axId val="10081130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811390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ATTRIUTION PROJECT1.xlsx]ATTRITION AND DISTANCE!PivotTable1</c:name>
    <c:fmtId val="10"/>
  </c:pivotSource>
  <c:chart>
    <c:autoTitleDeleted val="1"/>
    <c:pivotFmts>
      <c:pivotFmt>
        <c:idx val="0"/>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473853976602807E-2"/>
          <c:y val="7.816374472527951E-2"/>
          <c:w val="0.67386609071274295"/>
          <c:h val="0.79162330394486224"/>
        </c:manualLayout>
      </c:layout>
      <c:pie3DChart>
        <c:varyColors val="1"/>
        <c:ser>
          <c:idx val="0"/>
          <c:order val="0"/>
          <c:tx>
            <c:strRef>
              <c:f>'ATTRITION AND DISTANCE'!$B$3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EA9-4540-9DB8-0FE02FDC86A0}"/>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EA9-4540-9DB8-0FE02FDC86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'ATTRITION AND DISTANCE'!$A$4:$A$6</c:f>
              <c:strCache>
                <c:ptCount val="2"/>
                <c:pt idx="0">
                  <c:v>No</c:v>
                </c:pt>
                <c:pt idx="1">
                  <c:v>Yes</c:v>
                </c:pt>
              </c:strCache>
            </c:strRef>
          </c:cat>
          <c:val>
            <c:numRef>
              <c:f>'ATTRITION AND DISTANCE'!$B$4:$B$6</c:f>
              <c:numCache>
                <c:formatCode>General</c:formatCode>
                <c:ptCount val="2"/>
                <c:pt idx="0">
                  <c:v>8.9156528791565286</c:v>
                </c:pt>
                <c:pt idx="1">
                  <c:v>10.632911392405063</c:v>
                </c:pt>
              </c:numCache>
            </c:numRef>
          </c:val>
          <c:extLst>
            <c:ext xmlns:c16="http://schemas.microsoft.com/office/drawing/2014/chart" uri="{C3380CC4-5D6E-409C-BE32-E72D297353CC}">
              <c16:uniqueId val="{00000004-AEA9-4540-9DB8-0FE02FDC86A0}"/>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ATTRIUTION PROJECT1.xlsx]Sheet1!PivotTable1</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ATTRITION AND OVERTIME</a:t>
            </a:r>
          </a:p>
          <a:p>
            <a:pPr>
              <a:defRPr/>
            </a:pPr>
            <a:r>
              <a:rPr lang="en-US" sz="1200"/>
              <a:t>SHOWS THOSE WHO GOT OVERTIME DID NOT RESIGN</a:t>
            </a:r>
          </a:p>
        </c:rich>
      </c:tx>
      <c:layout>
        <c:manualLayout>
          <c:xMode val="edge"/>
          <c:yMode val="edge"/>
          <c:x val="0.15550000000000003"/>
          <c:y val="8.23126275882181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9"/>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4678899082568808E-2"/>
          <c:y val="0.35726778770376849"/>
          <c:w val="0.98532110091743119"/>
          <c:h val="0.57951379288342519"/>
        </c:manualLayout>
      </c:layout>
      <c:pie3D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955-47B0-BEEE-68F5B7BBD09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955-47B0-BEEE-68F5B7BBD09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Sheet1!$A$4:$A$6</c:f>
              <c:strCache>
                <c:ptCount val="2"/>
                <c:pt idx="0">
                  <c:v>No</c:v>
                </c:pt>
                <c:pt idx="1">
                  <c:v>Yes</c:v>
                </c:pt>
              </c:strCache>
            </c:strRef>
          </c:cat>
          <c:val>
            <c:numRef>
              <c:f>Sheet1!$B$4:$B$6</c:f>
              <c:numCache>
                <c:formatCode>General</c:formatCode>
                <c:ptCount val="2"/>
                <c:pt idx="0">
                  <c:v>1233</c:v>
                </c:pt>
                <c:pt idx="1">
                  <c:v>237</c:v>
                </c:pt>
              </c:numCache>
            </c:numRef>
          </c:val>
          <c:extLst>
            <c:ext xmlns:c16="http://schemas.microsoft.com/office/drawing/2014/chart" uri="{C3380CC4-5D6E-409C-BE32-E72D297353CC}">
              <c16:uniqueId val="{00000004-7955-47B0-BEEE-68F5B7BBD095}"/>
            </c:ext>
          </c:extLst>
        </c:ser>
        <c:dLbls>
          <c:dLblPos val="ctr"/>
          <c:showLegendKey val="0"/>
          <c:showVal val="0"/>
          <c:showCatName val="1"/>
          <c:showSerName val="0"/>
          <c:showPercent val="0"/>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48212981804240762"/>
          <c:y val="0.43502743975184915"/>
          <c:w val="0.45273939072222713"/>
          <c:h val="0.42437699832975423"/>
        </c:manualLayout>
      </c:layout>
      <c:barChart>
        <c:barDir val="bar"/>
        <c:grouping val="clustered"/>
        <c:varyColors val="0"/>
        <c:ser>
          <c:idx val="0"/>
          <c:order val="0"/>
          <c:tx>
            <c:v>Total</c:v>
          </c:tx>
          <c:spPr>
            <a:solidFill>
              <a:schemeClr val="accent1"/>
            </a:solidFill>
            <a:ln>
              <a:noFill/>
            </a:ln>
            <a:effectLst/>
          </c:spPr>
          <c:invertIfNegative val="0"/>
          <c:cat>
            <c:strLit>
              <c:ptCount val="3"/>
              <c:pt idx="0">
                <c:v>Human Resources</c:v>
              </c:pt>
              <c:pt idx="1">
                <c:v>Research &amp; Development</c:v>
              </c:pt>
              <c:pt idx="2">
                <c:v>Sales</c:v>
              </c:pt>
            </c:strLit>
          </c:cat>
          <c:val>
            <c:numLit>
              <c:formatCode>General</c:formatCode>
              <c:ptCount val="3"/>
              <c:pt idx="0">
                <c:v>2.6031746031746033</c:v>
              </c:pt>
              <c:pt idx="1">
                <c:v>2.7263267429760667</c:v>
              </c:pt>
              <c:pt idx="2">
                <c:v>2.7511210762331837</c:v>
              </c:pt>
            </c:numLit>
          </c:val>
          <c:extLst>
            <c:ext xmlns:c16="http://schemas.microsoft.com/office/drawing/2014/chart" uri="{C3380CC4-5D6E-409C-BE32-E72D297353CC}">
              <c16:uniqueId val="{00000000-25DF-41F0-B2C0-B4B4E81250BA}"/>
            </c:ext>
          </c:extLst>
        </c:ser>
        <c:dLbls>
          <c:showLegendKey val="0"/>
          <c:showVal val="0"/>
          <c:showCatName val="0"/>
          <c:showSerName val="0"/>
          <c:showPercent val="0"/>
          <c:showBubbleSize val="0"/>
        </c:dLbls>
        <c:gapWidth val="219"/>
        <c:axId val="304405775"/>
        <c:axId val="250237167"/>
      </c:barChart>
      <c:valAx>
        <c:axId val="25023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405775"/>
        <c:crosses val="autoZero"/>
        <c:crossBetween val="between"/>
      </c:valAx>
      <c:catAx>
        <c:axId val="30440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237167"/>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'DEPARTMENT AND GENDER'!$C$31:$C$32</c:f>
              <c:strCache>
                <c:ptCount val="2"/>
                <c:pt idx="0">
                  <c:v>Female</c:v>
                </c:pt>
                <c:pt idx="1">
                  <c:v>Male</c:v>
                </c:pt>
              </c:strCache>
            </c:strRef>
          </c:cat>
          <c:val>
            <c:numRef>
              <c:f>'DEPARTMENT AND GENDER'!$D$31:$D$32</c:f>
              <c:numCache>
                <c:formatCode>0%</c:formatCode>
                <c:ptCount val="2"/>
                <c:pt idx="0">
                  <c:v>0.15</c:v>
                </c:pt>
                <c:pt idx="1">
                  <c:v>0.17</c:v>
                </c:pt>
              </c:numCache>
            </c:numRef>
          </c:val>
          <c:extLst>
            <c:ext xmlns:c16="http://schemas.microsoft.com/office/drawing/2014/chart" uri="{C3380CC4-5D6E-409C-BE32-E72D297353CC}">
              <c16:uniqueId val="{00000000-BAC1-40D2-8028-A20CB892837E}"/>
            </c:ext>
          </c:extLst>
        </c:ser>
        <c:dLbls>
          <c:showLegendKey val="0"/>
          <c:showVal val="0"/>
          <c:showCatName val="0"/>
          <c:showSerName val="0"/>
          <c:showPercent val="0"/>
          <c:showBubbleSize val="0"/>
        </c:dLbls>
        <c:gapWidth val="219"/>
        <c:overlap val="-27"/>
        <c:axId val="154491104"/>
        <c:axId val="154496928"/>
      </c:barChart>
      <c:catAx>
        <c:axId val="15449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6928"/>
        <c:crosses val="autoZero"/>
        <c:auto val="1"/>
        <c:lblAlgn val="ctr"/>
        <c:lblOffset val="100"/>
        <c:noMultiLvlLbl val="0"/>
      </c:catAx>
      <c:valAx>
        <c:axId val="154496928"/>
        <c:scaling>
          <c:orientation val="minMax"/>
          <c:max val="0.2"/>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PERCENTAGE ATTRITION RATE BY DEPARTMENTS</a:t>
            </a:r>
          </a:p>
        </c:rich>
      </c:tx>
      <c:layout>
        <c:manualLayout>
          <c:xMode val="edge"/>
          <c:yMode val="edge"/>
          <c:x val="8.5526227110670802E-2"/>
          <c:y val="4.5684607379189814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1.5698671994358915E-2"/>
          <c:y val="0.28485860320091566"/>
          <c:w val="0.49674044265593559"/>
          <c:h val="0.6379328165374677"/>
        </c:manualLayout>
      </c:layout>
      <c:pieChart>
        <c:varyColors val="1"/>
        <c:ser>
          <c:idx val="0"/>
          <c:order val="0"/>
          <c:explosion val="2"/>
          <c:dPt>
            <c:idx val="0"/>
            <c:bubble3D val="0"/>
            <c:spPr>
              <a:gradFill>
                <a:gsLst>
                  <a:gs pos="100000">
                    <a:schemeClr val="accent2">
                      <a:tint val="65000"/>
                      <a:lumMod val="60000"/>
                      <a:lumOff val="40000"/>
                    </a:schemeClr>
                  </a:gs>
                  <a:gs pos="0">
                    <a:schemeClr val="accent2">
                      <a:tint val="65000"/>
                    </a:schemeClr>
                  </a:gs>
                </a:gsLst>
                <a:lin ang="5400000" scaled="0"/>
              </a:gradFill>
              <a:ln w="19050">
                <a:solidFill>
                  <a:schemeClr val="lt1"/>
                </a:solidFill>
              </a:ln>
              <a:effectLst/>
            </c:spPr>
            <c:extLst>
              <c:ext xmlns:c16="http://schemas.microsoft.com/office/drawing/2014/chart" uri="{C3380CC4-5D6E-409C-BE32-E72D297353CC}">
                <c16:uniqueId val="{00000001-1059-48AD-85FC-CCEEEB7C98AF}"/>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1059-48AD-85FC-CCEEEB7C98AF}"/>
              </c:ext>
            </c:extLst>
          </c:dPt>
          <c:dPt>
            <c:idx val="2"/>
            <c:bubble3D val="0"/>
            <c:spPr>
              <a:gradFill>
                <a:gsLst>
                  <a:gs pos="100000">
                    <a:schemeClr val="accent2">
                      <a:shade val="65000"/>
                      <a:lumMod val="60000"/>
                      <a:lumOff val="40000"/>
                    </a:schemeClr>
                  </a:gs>
                  <a:gs pos="0">
                    <a:schemeClr val="accent2">
                      <a:shade val="65000"/>
                    </a:schemeClr>
                  </a:gs>
                </a:gsLst>
                <a:lin ang="5400000" scaled="0"/>
              </a:gradFill>
              <a:ln w="19050">
                <a:solidFill>
                  <a:schemeClr val="lt1"/>
                </a:solidFill>
              </a:ln>
              <a:effectLst/>
            </c:spPr>
            <c:extLst>
              <c:ext xmlns:c16="http://schemas.microsoft.com/office/drawing/2014/chart" uri="{C3380CC4-5D6E-409C-BE32-E72D297353CC}">
                <c16:uniqueId val="{00000005-1059-48AD-85FC-CCEEEB7C98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'DEPARTMENT AND GENDER'!$A$31:$A$33</c:f>
              <c:strCache>
                <c:ptCount val="3"/>
                <c:pt idx="0">
                  <c:v>Human Resources</c:v>
                </c:pt>
                <c:pt idx="1">
                  <c:v>Research &amp; Development</c:v>
                </c:pt>
                <c:pt idx="2">
                  <c:v>Sales</c:v>
                </c:pt>
              </c:strCache>
            </c:strRef>
          </c:cat>
          <c:val>
            <c:numRef>
              <c:f>'DEPARTMENT AND GENDER'!$B$31:$B$33</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6-1059-48AD-85FC-CCEEEB7C98AF}"/>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Arial" panose="020B0604020202020204" pitchFamily="34" charset="0"/>
                <a:cs typeface="Arial" panose="020B0604020202020204" pitchFamily="34" charset="0"/>
              </a:rPr>
              <a:t>JOB</a:t>
            </a:r>
            <a:r>
              <a:rPr lang="en-US" sz="1100" b="1" baseline="0">
                <a:latin typeface="Arial" panose="020B0604020202020204" pitchFamily="34" charset="0"/>
                <a:cs typeface="Arial" panose="020B0604020202020204" pitchFamily="34" charset="0"/>
              </a:rPr>
              <a:t> SATISFACTION VS ATTRITION</a:t>
            </a:r>
            <a:endParaRPr lang="en-US" sz="1100" b="1">
              <a:latin typeface="Arial" panose="020B0604020202020204" pitchFamily="34" charset="0"/>
              <a:cs typeface="Arial" panose="020B0604020202020204" pitchFamily="34" charset="0"/>
            </a:endParaRPr>
          </a:p>
        </c:rich>
      </c:tx>
      <c:layout>
        <c:manualLayout>
          <c:xMode val="edge"/>
          <c:yMode val="edge"/>
          <c:x val="0.16309769503621238"/>
          <c:y val="7.3825464342089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lumMod val="75000"/>
            </a:schemeClr>
          </a:solidFill>
          <a:ln w="73025">
            <a:noFill/>
          </a:ln>
          <a:effectLst/>
        </c:spPr>
        <c:marker>
          <c:symbol val="none"/>
        </c:marker>
      </c:pivotFmt>
      <c:pivotFmt>
        <c:idx val="2"/>
        <c:spPr>
          <a:solidFill>
            <a:schemeClr val="accent2">
              <a:lumMod val="75000"/>
            </a:schemeClr>
          </a:solidFill>
          <a:ln w="73025">
            <a:noFill/>
          </a:ln>
          <a:effectLst/>
        </c:spPr>
        <c:marker>
          <c:symbol val="none"/>
        </c:marker>
      </c:pivotFmt>
      <c:pivotFmt>
        <c:idx val="3"/>
        <c:spPr>
          <a:solidFill>
            <a:schemeClr val="accent2">
              <a:lumMod val="75000"/>
            </a:schemeClr>
          </a:solidFill>
          <a:ln w="73025">
            <a:noFill/>
          </a:ln>
          <a:effectLst/>
        </c:spPr>
        <c:marker>
          <c:symbol val="none"/>
        </c:marker>
      </c:pivotFmt>
    </c:pivotFmts>
    <c:plotArea>
      <c:layout/>
      <c:barChart>
        <c:barDir val="col"/>
        <c:grouping val="clustered"/>
        <c:varyColors val="0"/>
        <c:ser>
          <c:idx val="0"/>
          <c:order val="0"/>
          <c:tx>
            <c:v>Yes</c:v>
          </c:tx>
          <c:spPr>
            <a:solidFill>
              <a:schemeClr val="accent2">
                <a:lumMod val="75000"/>
              </a:schemeClr>
            </a:solidFill>
            <a:ln w="73025">
              <a:noFill/>
            </a:ln>
            <a:effectLst/>
          </c:spPr>
          <c:invertIfNegative val="0"/>
          <c:cat>
            <c:strLit>
              <c:ptCount val="4"/>
              <c:pt idx="0">
                <c:v>1</c:v>
              </c:pt>
              <c:pt idx="1">
                <c:v>2</c:v>
              </c:pt>
              <c:pt idx="2">
                <c:v>3</c:v>
              </c:pt>
              <c:pt idx="3">
                <c:v>4</c:v>
              </c:pt>
            </c:strLit>
          </c:cat>
          <c:val>
            <c:numLit>
              <c:formatCode>General</c:formatCode>
              <c:ptCount val="4"/>
              <c:pt idx="0">
                <c:v>23</c:v>
              </c:pt>
              <c:pt idx="1">
                <c:v>20</c:v>
              </c:pt>
              <c:pt idx="2">
                <c:v>27</c:v>
              </c:pt>
              <c:pt idx="3">
                <c:v>22</c:v>
              </c:pt>
            </c:numLit>
          </c:val>
          <c:extLst>
            <c:ext xmlns:c16="http://schemas.microsoft.com/office/drawing/2014/chart" uri="{C3380CC4-5D6E-409C-BE32-E72D297353CC}">
              <c16:uniqueId val="{00000000-4D81-46A1-9572-0ED749870C92}"/>
            </c:ext>
          </c:extLst>
        </c:ser>
        <c:dLbls>
          <c:showLegendKey val="0"/>
          <c:showVal val="0"/>
          <c:showCatName val="0"/>
          <c:showSerName val="0"/>
          <c:showPercent val="0"/>
          <c:showBubbleSize val="0"/>
        </c:dLbls>
        <c:gapWidth val="60"/>
        <c:overlap val="-27"/>
        <c:axId val="1865600016"/>
        <c:axId val="1865600432"/>
      </c:barChart>
      <c:catAx>
        <c:axId val="186560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00432"/>
        <c:crosses val="autoZero"/>
        <c:auto val="1"/>
        <c:lblAlgn val="ctr"/>
        <c:lblOffset val="100"/>
        <c:noMultiLvlLbl val="0"/>
      </c:catAx>
      <c:valAx>
        <c:axId val="186560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00016"/>
        <c:crosses val="autoZero"/>
        <c:crossBetween val="between"/>
      </c:valAx>
      <c:spPr>
        <a:noFill/>
        <a:ln cmpd="sng">
          <a:noFill/>
        </a:ln>
        <a:effectLst/>
      </c:spPr>
    </c:plotArea>
    <c:plotVisOnly val="1"/>
    <c:dispBlanksAs val="gap"/>
    <c:showDLblsOverMax val="0"/>
  </c:chart>
  <c:spPr>
    <a:solidFill>
      <a:schemeClr val="bg1"/>
    </a:solidFill>
    <a:ln w="158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 id="15">
  <a:schemeClr val="accent2"/>
</cs:colorStyle>
</file>

<file path=xl/charts/colors27.xml><?xml version="1.0" encoding="utf-8"?>
<cs:colorStyle xmlns:cs="http://schemas.microsoft.com/office/drawing/2012/chartStyle" xmlns:a="http://schemas.openxmlformats.org/drawingml/2006/main" meth="withinLinearReversed" id="22">
  <a:schemeClr val="accent2"/>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3</xdr:col>
      <xdr:colOff>2606675</xdr:colOff>
      <xdr:row>20</xdr:row>
      <xdr:rowOff>152399</xdr:rowOff>
    </xdr:from>
    <xdr:to>
      <xdr:col>6</xdr:col>
      <xdr:colOff>603250</xdr:colOff>
      <xdr:row>32</xdr:row>
      <xdr:rowOff>111124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530225</xdr:colOff>
      <xdr:row>7</xdr:row>
      <xdr:rowOff>120650</xdr:rowOff>
    </xdr:from>
    <xdr:to>
      <xdr:col>10</xdr:col>
      <xdr:colOff>133350</xdr:colOff>
      <xdr:row>20</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438150</xdr:colOff>
      <xdr:row>40</xdr:row>
      <xdr:rowOff>146050</xdr:rowOff>
    </xdr:from>
    <xdr:to>
      <xdr:col>3</xdr:col>
      <xdr:colOff>2755900</xdr:colOff>
      <xdr:row>52</xdr:row>
      <xdr:rowOff>28574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1250950</xdr:colOff>
      <xdr:row>40</xdr:row>
      <xdr:rowOff>146050</xdr:rowOff>
    </xdr:from>
    <xdr:to>
      <xdr:col>3</xdr:col>
      <xdr:colOff>450850</xdr:colOff>
      <xdr:row>52</xdr:row>
      <xdr:rowOff>34924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0.12821</cdr:x>
      <cdr:y>0.00605</cdr:y>
    </cdr:from>
    <cdr:to>
      <cdr:x>0.9</cdr:x>
      <cdr:y>0.15129</cdr:y>
    </cdr:to>
    <cdr:sp macro="" textlink="">
      <cdr:nvSpPr>
        <cdr:cNvPr id="2" name="TextBox 1"/>
        <cdr:cNvSpPr txBox="1"/>
      </cdr:nvSpPr>
      <cdr:spPr>
        <a:xfrm xmlns:a="http://schemas.openxmlformats.org/drawingml/2006/main">
          <a:off x="317500" y="12700"/>
          <a:ext cx="191135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ATTRITION</a:t>
          </a:r>
          <a:r>
            <a:rPr lang="en-US" sz="1100" b="1" baseline="0"/>
            <a:t> RATE BY GENDER</a:t>
          </a:r>
          <a:endParaRPr lang="en-US" sz="1100" b="1"/>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130175</xdr:colOff>
      <xdr:row>6</xdr:row>
      <xdr:rowOff>25400</xdr:rowOff>
    </xdr:from>
    <xdr:to>
      <xdr:col>10</xdr:col>
      <xdr:colOff>88900</xdr:colOff>
      <xdr:row>21</xdr:row>
      <xdr:rowOff>12700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831850</xdr:colOff>
      <xdr:row>7</xdr:row>
      <xdr:rowOff>41275</xdr:rowOff>
    </xdr:from>
    <xdr:to>
      <xdr:col>8</xdr:col>
      <xdr:colOff>228600</xdr:colOff>
      <xdr:row>19</xdr:row>
      <xdr:rowOff>177800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222250</xdr:colOff>
      <xdr:row>1</xdr:row>
      <xdr:rowOff>25400</xdr:rowOff>
    </xdr:from>
    <xdr:to>
      <xdr:col>9</xdr:col>
      <xdr:colOff>342900</xdr:colOff>
      <xdr:row>4</xdr:row>
      <xdr:rowOff>152400</xdr:rowOff>
    </xdr:to>
    <xdr:grpSp>
      <xdr:nvGrpSpPr>
        <xdr:cNvPr id="5" name="Group 4"/>
        <xdr:cNvGrpSpPr/>
      </xdr:nvGrpSpPr>
      <xdr:grpSpPr>
        <a:xfrm>
          <a:off x="222250" y="317500"/>
          <a:ext cx="5607050" cy="679450"/>
          <a:chOff x="165100" y="539750"/>
          <a:chExt cx="5607050" cy="679450"/>
        </a:xfrm>
      </xdr:grpSpPr>
      <xdr:sp macro="" textlink="">
        <xdr:nvSpPr>
          <xdr:cNvPr id="2" name="TextBox 1"/>
          <xdr:cNvSpPr txBox="1"/>
        </xdr:nvSpPr>
        <xdr:spPr>
          <a:xfrm>
            <a:off x="165100" y="539750"/>
            <a:ext cx="1682750" cy="6794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Overall Attrition</a:t>
            </a:r>
            <a:r>
              <a:rPr lang="en-US" sz="1100" baseline="0"/>
              <a:t> Rate</a:t>
            </a:r>
          </a:p>
          <a:p>
            <a:pPr algn="ctr"/>
            <a:r>
              <a:rPr lang="en-US" sz="2400" b="1" baseline="0">
                <a:solidFill>
                  <a:schemeClr val="accent2">
                    <a:lumMod val="75000"/>
                  </a:schemeClr>
                </a:solidFill>
              </a:rPr>
              <a:t>16.12%</a:t>
            </a:r>
            <a:endParaRPr lang="en-US" sz="2400" b="1">
              <a:solidFill>
                <a:schemeClr val="accent2">
                  <a:lumMod val="75000"/>
                </a:schemeClr>
              </a:solidFill>
            </a:endParaRPr>
          </a:p>
        </xdr:txBody>
      </xdr:sp>
      <xdr:sp macro="" textlink="">
        <xdr:nvSpPr>
          <xdr:cNvPr id="3" name="TextBox 2"/>
          <xdr:cNvSpPr txBox="1"/>
        </xdr:nvSpPr>
        <xdr:spPr>
          <a:xfrm>
            <a:off x="1822450" y="539750"/>
            <a:ext cx="1682750" cy="6794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Overall Data</a:t>
            </a:r>
            <a:r>
              <a:rPr lang="en-US" sz="1100" baseline="0"/>
              <a:t> Analysed </a:t>
            </a:r>
          </a:p>
          <a:p>
            <a:pPr algn="ctr"/>
            <a:r>
              <a:rPr lang="en-US" sz="2400" b="1" baseline="0">
                <a:solidFill>
                  <a:schemeClr val="accent2">
                    <a:lumMod val="75000"/>
                  </a:schemeClr>
                </a:solidFill>
              </a:rPr>
              <a:t>1,470</a:t>
            </a:r>
            <a:endParaRPr lang="en-US" sz="2400" b="1">
              <a:solidFill>
                <a:schemeClr val="accent2">
                  <a:lumMod val="75000"/>
                </a:schemeClr>
              </a:solidFill>
            </a:endParaRPr>
          </a:p>
        </xdr:txBody>
      </xdr:sp>
      <xdr:sp macro="" textlink="">
        <xdr:nvSpPr>
          <xdr:cNvPr id="4" name="TextBox 3"/>
          <xdr:cNvSpPr txBox="1"/>
        </xdr:nvSpPr>
        <xdr:spPr>
          <a:xfrm>
            <a:off x="3498850" y="539750"/>
            <a:ext cx="2273300" cy="6794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Gender</a:t>
            </a:r>
            <a:r>
              <a:rPr lang="en-US" sz="1100" baseline="0">
                <a:solidFill>
                  <a:schemeClr val="dk1"/>
                </a:solidFill>
                <a:effectLst/>
                <a:latin typeface="+mn-lt"/>
                <a:ea typeface="+mn-ea"/>
                <a:cs typeface="+mn-cs"/>
              </a:rPr>
              <a:t> With Highest Attrition</a:t>
            </a:r>
            <a:endParaRPr lang="en-US" sz="1600">
              <a:effectLst/>
            </a:endParaRPr>
          </a:p>
          <a:p>
            <a:pPr algn="ctr"/>
            <a:r>
              <a:rPr lang="en-US" sz="2400" b="1">
                <a:solidFill>
                  <a:schemeClr val="accent2">
                    <a:lumMod val="75000"/>
                  </a:schemeClr>
                </a:solidFill>
              </a:rPr>
              <a:t>MALE</a:t>
            </a:r>
            <a:endParaRPr lang="en-US" sz="1200" b="1">
              <a:solidFill>
                <a:schemeClr val="accent2">
                  <a:lumMod val="75000"/>
                </a:schemeClr>
              </a:solidFill>
            </a:endParaRPr>
          </a:p>
        </xdr:txBody>
      </xdr:sp>
    </xdr:grpSp>
    <xdr:clientData/>
  </xdr:twoCellAnchor>
  <xdr:twoCellAnchor>
    <xdr:from>
      <xdr:col>9</xdr:col>
      <xdr:colOff>171450</xdr:colOff>
      <xdr:row>1</xdr:row>
      <xdr:rowOff>25400</xdr:rowOff>
    </xdr:from>
    <xdr:to>
      <xdr:col>13</xdr:col>
      <xdr:colOff>254000</xdr:colOff>
      <xdr:row>4</xdr:row>
      <xdr:rowOff>146050</xdr:rowOff>
    </xdr:to>
    <xdr:sp macro="" textlink="">
      <xdr:nvSpPr>
        <xdr:cNvPr id="7" name="TextBox 6"/>
        <xdr:cNvSpPr txBox="1"/>
      </xdr:nvSpPr>
      <xdr:spPr>
        <a:xfrm>
          <a:off x="5657850" y="317500"/>
          <a:ext cx="3244850" cy="6731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0" baseline="0"/>
            <a:t>DEPARTMENT WITH HIGHEST NUMBER OF STAFF</a:t>
          </a:r>
        </a:p>
        <a:p>
          <a:pPr algn="ctr"/>
          <a:r>
            <a:rPr lang="en-US" sz="1800" b="1" baseline="0">
              <a:solidFill>
                <a:schemeClr val="accent2">
                  <a:lumMod val="75000"/>
                </a:schemeClr>
              </a:solidFill>
            </a:rPr>
            <a:t>R&amp;D </a:t>
          </a:r>
          <a:endParaRPr lang="en-US" sz="1800" b="1">
            <a:solidFill>
              <a:schemeClr val="accent2">
                <a:lumMod val="75000"/>
              </a:schemeClr>
            </a:solidFill>
          </a:endParaRPr>
        </a:p>
      </xdr:txBody>
    </xdr:sp>
    <xdr:clientData/>
  </xdr:twoCellAnchor>
  <xdr:twoCellAnchor>
    <xdr:from>
      <xdr:col>13</xdr:col>
      <xdr:colOff>215900</xdr:colOff>
      <xdr:row>1</xdr:row>
      <xdr:rowOff>25400</xdr:rowOff>
    </xdr:from>
    <xdr:to>
      <xdr:col>18</xdr:col>
      <xdr:colOff>54428</xdr:colOff>
      <xdr:row>4</xdr:row>
      <xdr:rowOff>152400</xdr:rowOff>
    </xdr:to>
    <xdr:sp macro="" textlink="">
      <xdr:nvSpPr>
        <xdr:cNvPr id="8" name="TextBox 7"/>
        <xdr:cNvSpPr txBox="1"/>
      </xdr:nvSpPr>
      <xdr:spPr>
        <a:xfrm>
          <a:off x="8851900" y="315686"/>
          <a:ext cx="2877457" cy="67128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HIGHEST ATTRITION</a:t>
          </a:r>
          <a:r>
            <a:rPr lang="en-US" sz="1100" baseline="0"/>
            <a:t> AGE RANGE</a:t>
          </a:r>
        </a:p>
        <a:p>
          <a:pPr algn="ctr"/>
          <a:r>
            <a:rPr lang="en-US" sz="2400" b="1" baseline="0">
              <a:solidFill>
                <a:schemeClr val="accent2">
                  <a:lumMod val="75000"/>
                </a:schemeClr>
              </a:solidFill>
            </a:rPr>
            <a:t>28-37</a:t>
          </a:r>
          <a:endParaRPr lang="en-US" sz="1200" b="1">
            <a:solidFill>
              <a:schemeClr val="accent2">
                <a:lumMod val="75000"/>
              </a:schemeClr>
            </a:solidFill>
          </a:endParaRPr>
        </a:p>
      </xdr:txBody>
    </xdr:sp>
    <xdr:clientData/>
  </xdr:twoCellAnchor>
  <xdr:twoCellAnchor>
    <xdr:from>
      <xdr:col>5</xdr:col>
      <xdr:colOff>31751</xdr:colOff>
      <xdr:row>5</xdr:row>
      <xdr:rowOff>31750</xdr:rowOff>
    </xdr:from>
    <xdr:to>
      <xdr:col>9</xdr:col>
      <xdr:colOff>431800</xdr:colOff>
      <xdr:row>16</xdr:row>
      <xdr:rowOff>50800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222250</xdr:colOff>
      <xdr:row>5</xdr:row>
      <xdr:rowOff>25401</xdr:rowOff>
    </xdr:from>
    <xdr:to>
      <xdr:col>4</xdr:col>
      <xdr:colOff>569567</xdr:colOff>
      <xdr:row>16</xdr:row>
      <xdr:rowOff>38101</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213013</xdr:colOff>
      <xdr:row>17</xdr:row>
      <xdr:rowOff>4040</xdr:rowOff>
    </xdr:from>
    <xdr:to>
      <xdr:col>5</xdr:col>
      <xdr:colOff>10968</xdr:colOff>
      <xdr:row>29</xdr:row>
      <xdr:rowOff>5773</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503383</xdr:colOff>
      <xdr:row>5</xdr:row>
      <xdr:rowOff>56574</xdr:rowOff>
    </xdr:from>
    <xdr:to>
      <xdr:col>13</xdr:col>
      <xdr:colOff>337128</xdr:colOff>
      <xdr:row>17</xdr:row>
      <xdr:rowOff>87168</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128731</xdr:colOff>
      <xdr:row>6</xdr:row>
      <xdr:rowOff>6350</xdr:rowOff>
    </xdr:from>
    <xdr:to>
      <xdr:col>13</xdr:col>
      <xdr:colOff>218785</xdr:colOff>
      <xdr:row>7</xdr:row>
      <xdr:rowOff>63500</xdr:rowOff>
    </xdr:to>
    <xdr:sp macro="" textlink="">
      <xdr:nvSpPr>
        <xdr:cNvPr id="6" name="TextBox 5"/>
        <xdr:cNvSpPr txBox="1"/>
      </xdr:nvSpPr>
      <xdr:spPr>
        <a:xfrm>
          <a:off x="6247822" y="1218623"/>
          <a:ext cx="2653145" cy="241877"/>
        </a:xfrm>
        <a:prstGeom prst="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panose="020B0604020202020204" pitchFamily="34" charset="0"/>
              <a:cs typeface="Arial" panose="020B0604020202020204" pitchFamily="34" charset="0"/>
            </a:rPr>
            <a:t>ATTRITION BY DEPARTMENT</a:t>
          </a:r>
        </a:p>
      </xdr:txBody>
    </xdr:sp>
    <xdr:clientData/>
  </xdr:twoCellAnchor>
  <xdr:twoCellAnchor>
    <xdr:from>
      <xdr:col>5</xdr:col>
      <xdr:colOff>177801</xdr:colOff>
      <xdr:row>16</xdr:row>
      <xdr:rowOff>126966</xdr:rowOff>
    </xdr:from>
    <xdr:to>
      <xdr:col>9</xdr:col>
      <xdr:colOff>249196</xdr:colOff>
      <xdr:row>29</xdr:row>
      <xdr:rowOff>177800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420833</xdr:colOff>
      <xdr:row>17</xdr:row>
      <xdr:rowOff>40986</xdr:rowOff>
    </xdr:from>
    <xdr:to>
      <xdr:col>13</xdr:col>
      <xdr:colOff>138545</xdr:colOff>
      <xdr:row>29</xdr:row>
      <xdr:rowOff>148936</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133350</xdr:colOff>
      <xdr:row>30</xdr:row>
      <xdr:rowOff>68034</xdr:rowOff>
    </xdr:from>
    <xdr:to>
      <xdr:col>17</xdr:col>
      <xdr:colOff>571500</xdr:colOff>
      <xdr:row>44</xdr:row>
      <xdr:rowOff>154215</xdr:rowOff>
    </xdr:to>
    <xdr:sp macro="" textlink="">
      <xdr:nvSpPr>
        <xdr:cNvPr id="9" name="TextBox 8"/>
        <xdr:cNvSpPr txBox="1"/>
      </xdr:nvSpPr>
      <xdr:spPr>
        <a:xfrm>
          <a:off x="133350" y="5855605"/>
          <a:ext cx="11505293" cy="2626181"/>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INSIGHTS</a:t>
          </a:r>
        </a:p>
        <a:p>
          <a:endParaRPr lang="en-US" sz="1100"/>
        </a:p>
        <a:p>
          <a:r>
            <a:rPr lang="en-US" sz="1100"/>
            <a:t>-</a:t>
          </a:r>
          <a:r>
            <a:rPr lang="en-US" sz="1100" baseline="0"/>
            <a:t> ATTRITION RATE FOR COMPANY IS 16.12%</a:t>
          </a:r>
        </a:p>
        <a:p>
          <a:endParaRPr lang="en-US" sz="1100" baseline="0"/>
        </a:p>
        <a:p>
          <a:r>
            <a:rPr lang="en-US" sz="1100" baseline="0"/>
            <a:t>- DEPARTMENT WITH HIGHEST NUMBER OF STAFF IS THE RESEARCH AND DEVELOPMENT GROUP</a:t>
          </a:r>
        </a:p>
        <a:p>
          <a:endParaRPr lang="en-US" sz="1100" baseline="0"/>
        </a:p>
        <a:p>
          <a:r>
            <a:rPr lang="en-US" sz="1100" baseline="0"/>
            <a:t>-Age range of 28-37 had The highest attrition Rate. More than twice as much as the next group.</a:t>
          </a:r>
        </a:p>
        <a:p>
          <a:endParaRPr lang="en-US" sz="1100" baseline="0"/>
        </a:p>
        <a:p>
          <a:r>
            <a:rPr lang="en-US" sz="1100" baseline="0"/>
            <a:t>-Those who were not satisfied with the environment were more likely to leave; as we can see those who scored 1 on the environmental satisfaction scale had the highest attrition.</a:t>
          </a:r>
        </a:p>
        <a:p>
          <a:endParaRPr lang="en-US" sz="1100" baseline="0"/>
        </a:p>
        <a:p>
          <a:r>
            <a:rPr lang="en-US" sz="1100" baseline="0"/>
            <a:t>- SALES DEPARTMENT WITH HIGHEST PERCENTAGE OF ATTRITION WHEN YOU COMPARE NUMBER OF STAFF WHO LEFT TO THE NUMBER OF STAFF IN EACH DEPARTMENT</a:t>
          </a:r>
        </a:p>
        <a:p>
          <a:endParaRPr lang="en-US" sz="1100" baseline="0"/>
        </a:p>
        <a:p>
          <a:r>
            <a:rPr lang="en-US" sz="1100" baseline="0"/>
            <a:t>-THOSE WHO EARNED BETWEEN 1000-3000 HAD THE HIGHEST ATTRITION RATE.</a:t>
          </a:r>
        </a:p>
        <a:p>
          <a:r>
            <a:rPr lang="en-US" sz="1100" baseline="0"/>
            <a:t>- PEOPLE WHO WERE NOT SATISFIED WITH THE ENVIRONMENT HAS A X2 CHANCE OF LEAVING THAN THOSE WHO WERE SATISFIED</a:t>
          </a:r>
        </a:p>
        <a:p>
          <a:endParaRPr lang="en-US" sz="1100" baseline="0"/>
        </a:p>
        <a:p>
          <a:r>
            <a:rPr lang="en-US" sz="1100" baseline="0"/>
            <a:t>- THOSE WHO HAD THE LOWEST JOB SATISFACTION HAD A HIGHER CHANCE OF LEAVING.</a:t>
          </a:r>
          <a:endParaRPr lang="en-US" sz="1100"/>
        </a:p>
      </xdr:txBody>
    </xdr:sp>
    <xdr:clientData/>
  </xdr:twoCellAnchor>
  <xdr:twoCellAnchor>
    <xdr:from>
      <xdr:col>13</xdr:col>
      <xdr:colOff>462644</xdr:colOff>
      <xdr:row>5</xdr:row>
      <xdr:rowOff>127000</xdr:rowOff>
    </xdr:from>
    <xdr:to>
      <xdr:col>17</xdr:col>
      <xdr:colOff>349251</xdr:colOff>
      <xdr:row>15</xdr:row>
      <xdr:rowOff>169181</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381000</xdr:colOff>
      <xdr:row>17</xdr:row>
      <xdr:rowOff>9071</xdr:rowOff>
    </xdr:from>
    <xdr:to>
      <xdr:col>17</xdr:col>
      <xdr:colOff>408214</xdr:colOff>
      <xdr:row>28</xdr:row>
      <xdr:rowOff>112031</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203200</xdr:colOff>
      <xdr:row>16</xdr:row>
      <xdr:rowOff>95252</xdr:rowOff>
    </xdr:from>
    <xdr:to>
      <xdr:col>9</xdr:col>
      <xdr:colOff>222250</xdr:colOff>
      <xdr:row>19</xdr:row>
      <xdr:rowOff>152400</xdr:rowOff>
    </xdr:to>
    <mc:AlternateContent xmlns:mc="http://schemas.openxmlformats.org/markup-compatibility/2006">
      <mc:Choice xmlns:a14="http://schemas.microsoft.com/office/drawing/2010/main" Requires="a14">
        <xdr:graphicFrame macro="">
          <xdr:nvGraphicFramePr>
            <xdr:cNvPr id="14" name="Department 2"/>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3251200" y="3378202"/>
              <a:ext cx="2457450" cy="609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0.04027</cdr:x>
      <cdr:y>0</cdr:y>
    </cdr:from>
    <cdr:to>
      <cdr:x>0.96197</cdr:x>
      <cdr:y>0.08914</cdr:y>
    </cdr:to>
    <cdr:sp macro="" textlink="">
      <cdr:nvSpPr>
        <cdr:cNvPr id="2" name="TextBox 1"/>
        <cdr:cNvSpPr txBox="1"/>
      </cdr:nvSpPr>
      <cdr:spPr>
        <a:xfrm xmlns:a="http://schemas.openxmlformats.org/drawingml/2006/main">
          <a:off x="114299" y="0"/>
          <a:ext cx="2616199" cy="20264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latin typeface="Arial" panose="020B0604020202020204" pitchFamily="34" charset="0"/>
              <a:cs typeface="Arial" panose="020B0604020202020204" pitchFamily="34" charset="0"/>
            </a:rPr>
            <a:t>ATTTRITION VS MONTHLY</a:t>
          </a:r>
          <a:r>
            <a:rPr lang="en-US" sz="1100" b="1" baseline="0">
              <a:latin typeface="Arial" panose="020B0604020202020204" pitchFamily="34" charset="0"/>
              <a:cs typeface="Arial" panose="020B0604020202020204" pitchFamily="34" charset="0"/>
            </a:rPr>
            <a:t> INCOME</a:t>
          </a:r>
          <a:endParaRPr lang="en-US" sz="1100" b="1">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0.22498</cdr:x>
      <cdr:y>0</cdr:y>
    </cdr:from>
    <cdr:to>
      <cdr:x>1</cdr:x>
      <cdr:y>0.10797</cdr:y>
    </cdr:to>
    <cdr:sp macro="" textlink="">
      <cdr:nvSpPr>
        <cdr:cNvPr id="2" name="TextBox 1"/>
        <cdr:cNvSpPr txBox="1"/>
      </cdr:nvSpPr>
      <cdr:spPr>
        <a:xfrm xmlns:a="http://schemas.openxmlformats.org/drawingml/2006/main">
          <a:off x="626717" y="0"/>
          <a:ext cx="21590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ATTRITION VS AGE GROUP</a:t>
          </a:r>
          <a:endParaRPr lang="en-US">
            <a:effectLst/>
          </a:endParaRPr>
        </a:p>
        <a:p xmlns:a="http://schemas.openxmlformats.org/drawingml/2006/main">
          <a:endParaRPr lang="en-US" sz="1100"/>
        </a:p>
      </cdr:txBody>
    </cdr:sp>
  </cdr:relSizeAnchor>
</c:userShapes>
</file>

<file path=xl/drawings/drawing8.xml><?xml version="1.0" encoding="utf-8"?>
<c:userShapes xmlns:c="http://schemas.openxmlformats.org/drawingml/2006/chart">
  <cdr:relSizeAnchor xmlns:cdr="http://schemas.openxmlformats.org/drawingml/2006/chartDrawing">
    <cdr:from>
      <cdr:x>0.18819</cdr:x>
      <cdr:y>0.12269</cdr:y>
    </cdr:from>
    <cdr:to>
      <cdr:x>0.86875</cdr:x>
      <cdr:y>0.22685</cdr:y>
    </cdr:to>
    <cdr:sp macro="" textlink="">
      <cdr:nvSpPr>
        <cdr:cNvPr id="2" name="TextBox 1"/>
        <cdr:cNvSpPr txBox="1"/>
      </cdr:nvSpPr>
      <cdr:spPr>
        <a:xfrm xmlns:a="http://schemas.openxmlformats.org/drawingml/2006/main">
          <a:off x="860425" y="336550"/>
          <a:ext cx="311150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cdr:x>
      <cdr:y>0.03562</cdr:y>
    </cdr:from>
    <cdr:to>
      <cdr:x>1</cdr:x>
      <cdr:y>0.23836</cdr:y>
    </cdr:to>
    <cdr:sp macro="" textlink="">
      <cdr:nvSpPr>
        <cdr:cNvPr id="3" name="TextBox 2"/>
        <cdr:cNvSpPr txBox="1"/>
      </cdr:nvSpPr>
      <cdr:spPr>
        <a:xfrm xmlns:a="http://schemas.openxmlformats.org/drawingml/2006/main">
          <a:off x="0" y="82550"/>
          <a:ext cx="2501900" cy="469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100" b="1"/>
            <a:t>ENVIRONMENTAL SATISFACTION</a:t>
          </a:r>
          <a:r>
            <a:rPr lang="en-US" sz="1100" b="1" baseline="0"/>
            <a:t> VS ATTRITION</a:t>
          </a:r>
          <a:endParaRPr lang="en-US" sz="1100" b="1"/>
        </a:p>
      </cdr:txBody>
    </cdr:sp>
  </cdr:relSizeAnchor>
</c:userShapes>
</file>

<file path=xl/drawings/drawing9.xml><?xml version="1.0" encoding="utf-8"?>
<c:userShapes xmlns:c="http://schemas.openxmlformats.org/drawingml/2006/chart">
  <cdr:relSizeAnchor xmlns:cdr="http://schemas.openxmlformats.org/drawingml/2006/chartDrawing">
    <cdr:from>
      <cdr:x>0.12821</cdr:x>
      <cdr:y>0.00605</cdr:y>
    </cdr:from>
    <cdr:to>
      <cdr:x>0.9</cdr:x>
      <cdr:y>0.15129</cdr:y>
    </cdr:to>
    <cdr:sp macro="" textlink="">
      <cdr:nvSpPr>
        <cdr:cNvPr id="2" name="TextBox 1"/>
        <cdr:cNvSpPr txBox="1"/>
      </cdr:nvSpPr>
      <cdr:spPr>
        <a:xfrm xmlns:a="http://schemas.openxmlformats.org/drawingml/2006/main">
          <a:off x="317500" y="12700"/>
          <a:ext cx="191135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ATTRITION</a:t>
          </a:r>
          <a:r>
            <a:rPr lang="en-US" sz="1100" b="1" baseline="0"/>
            <a:t> RATE BY GENDER</a:t>
          </a:r>
          <a:endParaRPr lang="en-US" sz="1100" b="1"/>
        </a:p>
      </cdr:txBody>
    </cdr:sp>
  </cdr:relSizeAnchor>
</c:userShapes>
</file>

<file path=xl/drawings/drawing10.xml><?xml version="1.0" encoding="utf-8"?>
<xdr:wsDr xmlns:xdr="http://schemas.openxmlformats.org/drawingml/2006/spreadsheetDrawing" xmlns:a="http://schemas.openxmlformats.org/drawingml/2006/main">
  <xdr:twoCellAnchor>
    <xdr:from>
      <xdr:col>5</xdr:col>
      <xdr:colOff>292652</xdr:colOff>
      <xdr:row>1</xdr:row>
      <xdr:rowOff>71784</xdr:rowOff>
    </xdr:from>
    <xdr:to>
      <xdr:col>9</xdr:col>
      <xdr:colOff>364434</xdr:colOff>
      <xdr:row>11</xdr:row>
      <xdr:rowOff>35340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69022</xdr:colOff>
      <xdr:row>0</xdr:row>
      <xdr:rowOff>11042</xdr:rowOff>
    </xdr:from>
    <xdr:to>
      <xdr:col>14</xdr:col>
      <xdr:colOff>425174</xdr:colOff>
      <xdr:row>12</xdr:row>
      <xdr:rowOff>118164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129761</xdr:colOff>
      <xdr:row>21</xdr:row>
      <xdr:rowOff>66260</xdr:rowOff>
    </xdr:from>
    <xdr:to>
      <xdr:col>3</xdr:col>
      <xdr:colOff>292652</xdr:colOff>
      <xdr:row>32</xdr:row>
      <xdr:rowOff>96077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650875</xdr:colOff>
      <xdr:row>8</xdr:row>
      <xdr:rowOff>95250</xdr:rowOff>
    </xdr:from>
    <xdr:to>
      <xdr:col>8</xdr:col>
      <xdr:colOff>44450</xdr:colOff>
      <xdr:row>23</xdr:row>
      <xdr:rowOff>50800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0.20395</cdr:x>
      <cdr:y>0.03935</cdr:y>
    </cdr:from>
    <cdr:to>
      <cdr:x>0.86228</cdr:x>
      <cdr:y>0.12269</cdr:y>
    </cdr:to>
    <cdr:sp macro="" textlink="">
      <cdr:nvSpPr>
        <cdr:cNvPr id="2" name="TextBox 1"/>
        <cdr:cNvSpPr txBox="1"/>
      </cdr:nvSpPr>
      <cdr:spPr>
        <a:xfrm xmlns:a="http://schemas.openxmlformats.org/drawingml/2006/main">
          <a:off x="821710" y="106950"/>
          <a:ext cx="2652474" cy="2264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latin typeface="Arial" panose="020B0604020202020204" pitchFamily="34" charset="0"/>
              <a:cs typeface="Arial" panose="020B0604020202020204" pitchFamily="34" charset="0"/>
            </a:rPr>
            <a:t>ATTTRITION VS SALARY</a:t>
          </a:r>
          <a:r>
            <a:rPr lang="en-US" sz="1100" b="1" baseline="0">
              <a:latin typeface="Arial" panose="020B0604020202020204" pitchFamily="34" charset="0"/>
              <a:cs typeface="Arial" panose="020B0604020202020204" pitchFamily="34" charset="0"/>
            </a:rPr>
            <a:t> RAGE</a:t>
          </a:r>
          <a:endParaRPr lang="en-US" sz="1100" b="1">
            <a:latin typeface="Arial" panose="020B0604020202020204" pitchFamily="34" charset="0"/>
            <a:cs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7</xdr:col>
      <xdr:colOff>82550</xdr:colOff>
      <xdr:row>0</xdr:row>
      <xdr:rowOff>152400</xdr:rowOff>
    </xdr:from>
    <xdr:to>
      <xdr:col>9</xdr:col>
      <xdr:colOff>508000</xdr:colOff>
      <xdr:row>13</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679450</xdr:colOff>
      <xdr:row>1</xdr:row>
      <xdr:rowOff>44450</xdr:rowOff>
    </xdr:from>
    <xdr:to>
      <xdr:col>9</xdr:col>
      <xdr:colOff>488950</xdr:colOff>
      <xdr:row>2</xdr:row>
      <xdr:rowOff>120650</xdr:rowOff>
    </xdr:to>
    <xdr:sp macro="" textlink="">
      <xdr:nvSpPr>
        <xdr:cNvPr id="5" name="TextBox 4"/>
        <xdr:cNvSpPr txBox="1"/>
      </xdr:nvSpPr>
      <xdr:spPr>
        <a:xfrm>
          <a:off x="6515100" y="228600"/>
          <a:ext cx="2406650" cy="260350"/>
        </a:xfrm>
        <a:prstGeom prst="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108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 AND JOB SATISFACTION</a:t>
          </a:r>
          <a:r>
            <a:rPr lang="en-US" sz="1100" baseline="0"/>
            <a:t> </a:t>
          </a:r>
          <a:endParaRPr lang="en-US" sz="1100"/>
        </a:p>
      </xdr:txBody>
    </xdr:sp>
    <xdr:clientData/>
  </xdr:twoCellAnchor>
  <xdr:twoCellAnchor>
    <xdr:from>
      <xdr:col>7</xdr:col>
      <xdr:colOff>19050</xdr:colOff>
      <xdr:row>3</xdr:row>
      <xdr:rowOff>120650</xdr:rowOff>
    </xdr:from>
    <xdr:to>
      <xdr:col>9</xdr:col>
      <xdr:colOff>323850</xdr:colOff>
      <xdr:row>17</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984250</xdr:colOff>
      <xdr:row>0</xdr:row>
      <xdr:rowOff>0</xdr:rowOff>
    </xdr:from>
    <xdr:to>
      <xdr:col>10</xdr:col>
      <xdr:colOff>984250</xdr:colOff>
      <xdr:row>13</xdr:row>
      <xdr:rowOff>130175</xdr:rowOff>
    </xdr:to>
    <mc:AlternateContent xmlns:mc="http://schemas.openxmlformats.org/markup-compatibility/2006" xmlns:a14="http://schemas.microsoft.com/office/drawing/2010/main">
      <mc:Choice Requires="a14">
        <xdr:graphicFrame macro="">
          <xdr:nvGraphicFramePr>
            <xdr:cNvPr id="2"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35025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c:userShapes xmlns:c="http://schemas.openxmlformats.org/drawingml/2006/chart">
  <cdr:relSizeAnchor xmlns:cdr="http://schemas.openxmlformats.org/drawingml/2006/chartDrawing">
    <cdr:from>
      <cdr:x>0.31528</cdr:x>
      <cdr:y>0.0625</cdr:y>
    </cdr:from>
    <cdr:to>
      <cdr:x>0.93472</cdr:x>
      <cdr:y>0.19213</cdr:y>
    </cdr:to>
    <cdr:sp macro="" textlink="">
      <cdr:nvSpPr>
        <cdr:cNvPr id="2" name="TextBox 1"/>
        <cdr:cNvSpPr txBox="1"/>
      </cdr:nvSpPr>
      <cdr:spPr>
        <a:xfrm xmlns:a="http://schemas.openxmlformats.org/drawingml/2006/main">
          <a:off x="1441450" y="171450"/>
          <a:ext cx="2832100" cy="355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15.xml><?xml version="1.0" encoding="utf-8"?>
<xdr:wsDr xmlns:xdr="http://schemas.openxmlformats.org/drawingml/2006/spreadsheetDrawing" xmlns:a="http://schemas.openxmlformats.org/drawingml/2006/main">
  <xdr:twoCellAnchor editAs="oneCell">
    <xdr:from>
      <xdr:col>4</xdr:col>
      <xdr:colOff>177800</xdr:colOff>
      <xdr:row>0</xdr:row>
      <xdr:rowOff>69850</xdr:rowOff>
    </xdr:from>
    <xdr:to>
      <xdr:col>7</xdr:col>
      <xdr:colOff>381000</xdr:colOff>
      <xdr:row>14</xdr:row>
      <xdr:rowOff>15875</xdr:rowOff>
    </xdr:to>
    <mc:AlternateContent xmlns:mc="http://schemas.openxmlformats.org/markup-compatibility/2006" xmlns:a14="http://schemas.microsoft.com/office/drawing/2010/main">
      <mc:Choice Requires="a14">
        <xdr:graphicFrame macro="">
          <xdr:nvGraphicFramePr>
            <xdr:cNvPr id="2" name="Department 3"/>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4533900" y="69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123825</xdr:colOff>
      <xdr:row>9</xdr:row>
      <xdr:rowOff>165100</xdr:rowOff>
    </xdr:from>
    <xdr:to>
      <xdr:col>15</xdr:col>
      <xdr:colOff>38100</xdr:colOff>
      <xdr:row>22</xdr:row>
      <xdr:rowOff>107950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0.18819</cdr:x>
      <cdr:y>0.12269</cdr:y>
    </cdr:from>
    <cdr:to>
      <cdr:x>0.86875</cdr:x>
      <cdr:y>0.22685</cdr:y>
    </cdr:to>
    <cdr:sp macro="" textlink="">
      <cdr:nvSpPr>
        <cdr:cNvPr id="2" name="TextBox 1"/>
        <cdr:cNvSpPr txBox="1"/>
      </cdr:nvSpPr>
      <cdr:spPr>
        <a:xfrm xmlns:a="http://schemas.openxmlformats.org/drawingml/2006/main">
          <a:off x="860425" y="336550"/>
          <a:ext cx="311150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0.10222</cdr:x>
      <cdr:y>0.07317</cdr:y>
    </cdr:from>
    <cdr:to>
      <cdr:x>0.93308</cdr:x>
      <cdr:y>0.17663</cdr:y>
    </cdr:to>
    <cdr:sp macro="" textlink="">
      <cdr:nvSpPr>
        <cdr:cNvPr id="3" name="TextBox 2"/>
        <cdr:cNvSpPr txBox="1"/>
      </cdr:nvSpPr>
      <cdr:spPr>
        <a:xfrm xmlns:a="http://schemas.openxmlformats.org/drawingml/2006/main">
          <a:off x="365125" y="170980"/>
          <a:ext cx="2967732" cy="2417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ENVIRONMENTAL SATISFACTION</a:t>
          </a:r>
          <a:r>
            <a:rPr lang="en-US" sz="1100" b="1" baseline="0"/>
            <a:t> VS ATTRITION</a:t>
          </a:r>
          <a:endParaRPr lang="en-US" sz="1100" b="1"/>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19087</xdr:colOff>
      <xdr:row>1</xdr:row>
      <xdr:rowOff>0</xdr:rowOff>
    </xdr:from>
    <xdr:to>
      <xdr:col>4</xdr:col>
      <xdr:colOff>723901</xdr:colOff>
      <xdr:row>12</xdr:row>
      <xdr:rowOff>146050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230168</xdr:colOff>
      <xdr:row>13</xdr:row>
      <xdr:rowOff>175770</xdr:rowOff>
    </xdr:from>
    <xdr:to>
      <xdr:col>6</xdr:col>
      <xdr:colOff>166220</xdr:colOff>
      <xdr:row>26</xdr:row>
      <xdr:rowOff>82504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338427</xdr:colOff>
      <xdr:row>23</xdr:row>
      <xdr:rowOff>176232</xdr:rowOff>
    </xdr:from>
    <xdr:to>
      <xdr:col>6</xdr:col>
      <xdr:colOff>166219</xdr:colOff>
      <xdr:row>26</xdr:row>
      <xdr:rowOff>138824</xdr:rowOff>
    </xdr:to>
    <xdr:sp macro="" textlink="">
      <xdr:nvSpPr>
        <xdr:cNvPr id="5" name="TextBox 4"/>
        <xdr:cNvSpPr txBox="1"/>
      </xdr:nvSpPr>
      <xdr:spPr>
        <a:xfrm>
          <a:off x="2878427" y="4457946"/>
          <a:ext cx="2585506" cy="5068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none"/>
            <a:t>54% OF</a:t>
          </a:r>
          <a:r>
            <a:rPr lang="en-US" sz="1100" u="none" baseline="0"/>
            <a:t> PEOPLE WHO RESIGNED HAD LONGER DISTANCE FROM HOME</a:t>
          </a:r>
          <a:endParaRPr lang="en-US" sz="1100" u="none"/>
        </a:p>
      </xdr:txBody>
    </xdr:sp>
    <xdr:clientData/>
  </xdr:twoCellAnchor>
  <xdr:twoCellAnchor>
    <xdr:from>
      <xdr:col>0</xdr:col>
      <xdr:colOff>6350</xdr:colOff>
      <xdr:row>13</xdr:row>
      <xdr:rowOff>169513</xdr:rowOff>
    </xdr:from>
    <xdr:to>
      <xdr:col>4</xdr:col>
      <xdr:colOff>312954</xdr:colOff>
      <xdr:row>26</xdr:row>
      <xdr:rowOff>82505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1077144</xdr:colOff>
      <xdr:row>1</xdr:row>
      <xdr:rowOff>12700</xdr:rowOff>
    </xdr:from>
    <xdr:to>
      <xdr:col>6</xdr:col>
      <xdr:colOff>444500</xdr:colOff>
      <xdr:row>9</xdr:row>
      <xdr:rowOff>152400</xdr:rowOff>
    </xdr:to>
    <xdr:sp macro="" textlink="">
      <xdr:nvSpPr>
        <xdr:cNvPr id="8" name="TextBox 7"/>
        <xdr:cNvSpPr txBox="1"/>
      </xdr:nvSpPr>
      <xdr:spPr>
        <a:xfrm>
          <a:off x="3604444" y="298450"/>
          <a:ext cx="2129606" cy="16129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u="none"/>
        </a:p>
        <a:p>
          <a:endParaRPr lang="en-US" sz="1100" u="none"/>
        </a:p>
        <a:p>
          <a:pPr algn="ctr"/>
          <a:r>
            <a:rPr lang="en-US" sz="1100" u="none">
              <a:solidFill>
                <a:schemeClr val="bg1"/>
              </a:solidFill>
              <a:latin typeface="Arial Black" panose="020B0A04020102020204" pitchFamily="34" charset="0"/>
            </a:rPr>
            <a:t>ATTIRTION RATE</a:t>
          </a:r>
          <a:r>
            <a:rPr lang="en-US" sz="1100" u="none" baseline="0">
              <a:solidFill>
                <a:schemeClr val="bg1"/>
              </a:solidFill>
              <a:latin typeface="Arial Black" panose="020B0A04020102020204" pitchFamily="34" charset="0"/>
            </a:rPr>
            <a:t> FOR THE COMPANY IS</a:t>
          </a:r>
        </a:p>
        <a:p>
          <a:endParaRPr lang="en-US" sz="1100" u="none" baseline="0"/>
        </a:p>
        <a:p>
          <a:pPr algn="ctr"/>
          <a:r>
            <a:rPr lang="en-US" sz="1100" u="none" baseline="0"/>
            <a:t> </a:t>
          </a:r>
          <a:r>
            <a:rPr lang="en-US" sz="2800" u="none" baseline="0">
              <a:solidFill>
                <a:srgbClr val="00B050"/>
              </a:solidFill>
            </a:rPr>
            <a:t>16.12%</a:t>
          </a:r>
          <a:endParaRPr lang="en-US" sz="2800" u="none">
            <a:solidFill>
              <a:srgbClr val="00B050"/>
            </a:solidFill>
          </a:endParaRPr>
        </a:p>
      </xdr:txBody>
    </xdr:sp>
    <xdr:clientData/>
  </xdr:twoCellAnchor>
  <xdr:twoCellAnchor>
    <xdr:from>
      <xdr:col>8</xdr:col>
      <xdr:colOff>137745</xdr:colOff>
      <xdr:row>17</xdr:row>
      <xdr:rowOff>94604</xdr:rowOff>
    </xdr:from>
    <xdr:to>
      <xdr:col>9</xdr:col>
      <xdr:colOff>785598</xdr:colOff>
      <xdr:row>25</xdr:row>
      <xdr:rowOff>82458</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1065893</xdr:colOff>
      <xdr:row>8</xdr:row>
      <xdr:rowOff>94344</xdr:rowOff>
    </xdr:from>
    <xdr:to>
      <xdr:col>6</xdr:col>
      <xdr:colOff>120650</xdr:colOff>
      <xdr:row>14</xdr:row>
      <xdr:rowOff>6350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210852</xdr:colOff>
      <xdr:row>11</xdr:row>
      <xdr:rowOff>82550</xdr:rowOff>
    </xdr:from>
    <xdr:to>
      <xdr:col>9</xdr:col>
      <xdr:colOff>990600</xdr:colOff>
      <xdr:row>25</xdr:row>
      <xdr:rowOff>50800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745420</xdr:colOff>
      <xdr:row>0</xdr:row>
      <xdr:rowOff>273050</xdr:rowOff>
    </xdr:from>
    <xdr:to>
      <xdr:col>10</xdr:col>
      <xdr:colOff>819151</xdr:colOff>
      <xdr:row>6</xdr:row>
      <xdr:rowOff>184149</xdr:rowOff>
    </xdr:to>
    <mc:AlternateContent xmlns:mc="http://schemas.openxmlformats.org/markup-compatibility/2006" xmlns:a14="http://schemas.microsoft.com/office/drawing/2010/main">
      <mc:Choice Requires="a14">
        <xdr:graphicFrame macro="">
          <xdr:nvGraphicFramePr>
            <xdr:cNvPr id="1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32020" y="273050"/>
              <a:ext cx="2169231" cy="1117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419102</xdr:colOff>
      <xdr:row>0</xdr:row>
      <xdr:rowOff>260349</xdr:rowOff>
    </xdr:from>
    <xdr:to>
      <xdr:col>8</xdr:col>
      <xdr:colOff>745773</xdr:colOff>
      <xdr:row>11</xdr:row>
      <xdr:rowOff>25400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cdr:x>
      <cdr:y>0.85536</cdr:y>
    </cdr:from>
    <cdr:to>
      <cdr:x>1</cdr:x>
      <cdr:y>1</cdr:y>
    </cdr:to>
    <cdr:sp macro="" textlink="">
      <cdr:nvSpPr>
        <cdr:cNvPr id="2" name="TextBox 1"/>
        <cdr:cNvSpPr txBox="1"/>
      </cdr:nvSpPr>
      <cdr:spPr>
        <a:xfrm xmlns:a="http://schemas.openxmlformats.org/drawingml/2006/main">
          <a:off x="158749" y="2381250"/>
          <a:ext cx="297180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NAEMEKA IJEOMA" refreshedDate="45806.870232638888" createdVersion="6" refreshedVersion="6" minRefreshableVersion="3" recordCount="1470">
  <cacheSource type="worksheet">
    <worksheetSource name="Table2"/>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10"/>
        <groupItems count="7">
          <s v="&lt;18"/>
          <s v="18-27"/>
          <s v="28-37"/>
          <s v="38-47"/>
          <s v="48-57"/>
          <s v="58-67"/>
          <s v="&gt;68"/>
        </groupItems>
      </fieldGroup>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ount="886">
        <n v="1102"/>
        <n v="279"/>
        <n v="1373"/>
        <n v="1392"/>
        <n v="591"/>
        <n v="1005"/>
        <n v="1324"/>
        <n v="1358"/>
        <n v="216"/>
        <n v="1299"/>
        <n v="809"/>
        <n v="153"/>
        <n v="670"/>
        <n v="1346"/>
        <n v="103"/>
        <n v="1389"/>
        <n v="334"/>
        <n v="1123"/>
        <n v="1219"/>
        <n v="371"/>
        <n v="673"/>
        <n v="1218"/>
        <n v="419"/>
        <n v="391"/>
        <n v="699"/>
        <n v="1282"/>
        <n v="1125"/>
        <n v="691"/>
        <n v="477"/>
        <n v="705"/>
        <n v="924"/>
        <n v="1459"/>
        <n v="125"/>
        <n v="895"/>
        <n v="813"/>
        <n v="1273"/>
        <n v="869"/>
        <n v="890"/>
        <n v="852"/>
        <n v="1141"/>
        <n v="464"/>
        <n v="1240"/>
        <n v="1357"/>
        <n v="994"/>
        <n v="721"/>
        <n v="1360"/>
        <n v="1065"/>
        <n v="408"/>
        <n v="1211"/>
        <n v="1229"/>
        <n v="626"/>
        <n v="1434"/>
        <n v="1488"/>
        <n v="1097"/>
        <n v="1443"/>
        <n v="515"/>
        <n v="853"/>
        <n v="1142"/>
        <n v="655"/>
        <n v="1115"/>
        <n v="427"/>
        <n v="653"/>
        <n v="989"/>
        <n v="1435"/>
        <n v="1223"/>
        <n v="836"/>
        <n v="1195"/>
        <n v="1339"/>
        <n v="664"/>
        <n v="318"/>
        <n v="1225"/>
        <n v="1328"/>
        <n v="1082"/>
        <n v="548"/>
        <n v="132"/>
        <n v="746"/>
        <n v="776"/>
        <n v="193"/>
        <n v="397"/>
        <n v="945"/>
        <n v="1214"/>
        <n v="111"/>
        <n v="573"/>
        <n v="1153"/>
        <n v="1400"/>
        <n v="541"/>
        <n v="432"/>
        <n v="288"/>
        <n v="669"/>
        <n v="530"/>
        <n v="632"/>
        <n v="1334"/>
        <n v="638"/>
        <n v="1093"/>
        <n v="1217"/>
        <n v="1353"/>
        <n v="120"/>
        <n v="682"/>
        <n v="489"/>
        <n v="807"/>
        <n v="827"/>
        <n v="871"/>
        <n v="665"/>
        <n v="1040"/>
        <n v="1420"/>
        <n v="240"/>
        <n v="1280"/>
        <n v="534"/>
        <n v="1456"/>
        <n v="658"/>
        <n v="142"/>
        <n v="1127"/>
        <n v="1031"/>
        <n v="1189"/>
        <n v="1354"/>
        <n v="1467"/>
        <n v="922"/>
        <n v="394"/>
        <n v="1312"/>
        <n v="750"/>
        <n v="441"/>
        <n v="684"/>
        <n v="249"/>
        <n v="841"/>
        <n v="147"/>
        <n v="528"/>
        <n v="594"/>
        <n v="470"/>
        <n v="957"/>
        <n v="542"/>
        <n v="802"/>
        <n v="1355"/>
        <n v="1150"/>
        <n v="1329"/>
        <n v="959"/>
        <n v="1033"/>
        <n v="1316"/>
        <n v="364"/>
        <n v="438"/>
        <n v="689"/>
        <n v="201"/>
        <n v="1427"/>
        <n v="857"/>
        <n v="933"/>
        <n v="1181"/>
        <n v="1395"/>
        <n v="662"/>
        <n v="1436"/>
        <n v="194"/>
        <n v="967"/>
        <n v="1496"/>
        <n v="1169"/>
        <n v="1145"/>
        <n v="630"/>
        <n v="303"/>
        <n v="1256"/>
        <n v="440"/>
        <n v="1450"/>
        <n v="1452"/>
        <n v="465"/>
        <n v="702"/>
        <n v="1157"/>
        <n v="602"/>
        <n v="1480"/>
        <n v="1268"/>
        <n v="713"/>
        <n v="134"/>
        <n v="526"/>
        <n v="1380"/>
        <n v="140"/>
        <n v="629"/>
        <n v="1356"/>
        <n v="328"/>
        <n v="1084"/>
        <n v="931"/>
        <n v="692"/>
        <n v="1069"/>
        <n v="313"/>
        <n v="894"/>
        <n v="556"/>
        <n v="1344"/>
        <n v="290"/>
        <n v="138"/>
        <n v="926"/>
        <n v="1261"/>
        <n v="472"/>
        <n v="1002"/>
        <n v="878"/>
        <n v="905"/>
        <n v="1180"/>
        <n v="121"/>
        <n v="1136"/>
        <n v="635"/>
        <n v="1151"/>
        <n v="644"/>
        <n v="1045"/>
        <n v="829"/>
        <n v="1242"/>
        <n v="1469"/>
        <n v="896"/>
        <n v="992"/>
        <n v="1052"/>
        <n v="1147"/>
        <n v="1396"/>
        <n v="663"/>
        <n v="119"/>
        <n v="979"/>
        <n v="319"/>
        <n v="1413"/>
        <n v="944"/>
        <n v="1323"/>
        <n v="532"/>
        <n v="818"/>
        <n v="854"/>
        <n v="1034"/>
        <n v="771"/>
        <n v="1401"/>
        <n v="1431"/>
        <n v="976"/>
        <n v="1411"/>
        <n v="1300"/>
        <n v="252"/>
        <n v="1327"/>
        <n v="832"/>
        <n v="1017"/>
        <n v="1199"/>
        <n v="504"/>
        <n v="505"/>
        <n v="916"/>
        <n v="1247"/>
        <n v="685"/>
        <n v="269"/>
        <n v="1416"/>
        <n v="833"/>
        <n v="307"/>
        <n v="1311"/>
        <n v="128"/>
        <n v="488"/>
        <n v="529"/>
        <n v="1210"/>
        <n v="1463"/>
        <n v="675"/>
        <n v="1385"/>
        <n v="1403"/>
        <n v="452"/>
        <n v="666"/>
        <n v="1158"/>
        <n v="228"/>
        <n v="996"/>
        <n v="728"/>
        <n v="1315"/>
        <n v="322"/>
        <n v="1479"/>
        <n v="797"/>
        <n v="1070"/>
        <n v="442"/>
        <n v="496"/>
        <n v="1372"/>
        <n v="920"/>
        <n v="688"/>
        <n v="1449"/>
        <n v="1117"/>
        <n v="636"/>
        <n v="506"/>
        <n v="444"/>
        <n v="950"/>
        <n v="889"/>
        <n v="555"/>
        <n v="230"/>
        <n v="1232"/>
        <n v="566"/>
        <n v="1302"/>
        <n v="812"/>
        <n v="1476"/>
        <n v="218"/>
        <n v="1132"/>
        <n v="1105"/>
        <n v="906"/>
        <n v="849"/>
        <n v="390"/>
        <n v="106"/>
        <n v="1249"/>
        <n v="192"/>
        <n v="553"/>
        <n v="117"/>
        <n v="185"/>
        <n v="1091"/>
        <n v="723"/>
        <n v="1220"/>
        <n v="588"/>
        <n v="1377"/>
        <n v="1018"/>
        <n v="1275"/>
        <n v="798"/>
        <n v="672"/>
        <n v="1162"/>
        <n v="508"/>
        <n v="1482"/>
        <n v="559"/>
        <n v="210"/>
        <n v="928"/>
        <n v="1001"/>
        <n v="549"/>
        <n v="1124"/>
        <n v="738"/>
        <n v="570"/>
        <n v="1130"/>
        <n v="1192"/>
        <n v="343"/>
        <n v="144"/>
        <n v="1296"/>
        <n v="1309"/>
        <n v="483"/>
        <n v="810"/>
        <n v="544"/>
        <n v="1062"/>
        <n v="1319"/>
        <n v="641"/>
        <n v="1332"/>
        <n v="756"/>
        <n v="845"/>
        <n v="593"/>
        <n v="1171"/>
        <n v="350"/>
        <n v="921"/>
        <n v="1144"/>
        <n v="143"/>
        <n v="1046"/>
        <n v="575"/>
        <n v="156"/>
        <n v="1283"/>
        <n v="755"/>
        <n v="304"/>
        <n v="1178"/>
        <n v="329"/>
        <n v="1362"/>
        <n v="1371"/>
        <n v="202"/>
        <n v="253"/>
        <n v="164"/>
        <n v="1107"/>
        <n v="759"/>
        <n v="1305"/>
        <n v="982"/>
        <n v="821"/>
        <n v="1381"/>
        <n v="480"/>
        <n v="1473"/>
        <n v="891"/>
        <n v="1063"/>
        <n v="645"/>
        <n v="1490"/>
        <n v="317"/>
        <n v="422"/>
        <n v="1485"/>
        <n v="1368"/>
        <n v="1448"/>
        <n v="296"/>
        <n v="1398"/>
        <n v="1349"/>
        <n v="986"/>
        <n v="1099"/>
        <n v="1116"/>
        <n v="1499"/>
        <n v="983"/>
        <n v="1009"/>
        <n v="1303"/>
        <n v="1274"/>
        <n v="1277"/>
        <n v="587"/>
        <n v="413"/>
        <n v="1276"/>
        <n v="988"/>
        <n v="1474"/>
        <n v="163"/>
        <n v="267"/>
        <n v="619"/>
        <n v="302"/>
        <n v="443"/>
        <n v="828"/>
        <n v="561"/>
        <n v="426"/>
        <n v="232"/>
        <n v="1306"/>
        <n v="1094"/>
        <n v="509"/>
        <n v="775"/>
        <n v="195"/>
        <n v="258"/>
        <n v="471"/>
        <n v="799"/>
        <n v="956"/>
        <n v="535"/>
        <n v="1495"/>
        <n v="446"/>
        <n v="1245"/>
        <n v="703"/>
        <n v="823"/>
        <n v="1246"/>
        <n v="622"/>
        <n v="1287"/>
        <n v="448"/>
        <n v="254"/>
        <n v="1365"/>
        <n v="538"/>
        <n v="525"/>
        <n v="558"/>
        <n v="782"/>
        <n v="362"/>
        <n v="1236"/>
        <n v="1112"/>
        <n v="204"/>
        <n v="1343"/>
        <n v="604"/>
        <n v="1216"/>
        <n v="646"/>
        <n v="160"/>
        <n v="238"/>
        <n v="1397"/>
        <n v="306"/>
        <n v="991"/>
        <n v="482"/>
        <n v="1176"/>
        <n v="913"/>
        <n v="1076"/>
        <n v="727"/>
        <n v="885"/>
        <n v="243"/>
        <n v="806"/>
        <n v="817"/>
        <n v="1410"/>
        <n v="1207"/>
        <n v="1442"/>
        <n v="693"/>
        <n v="929"/>
        <n v="562"/>
        <n v="608"/>
        <n v="580"/>
        <n v="970"/>
        <n v="1179"/>
        <n v="294"/>
        <n v="314"/>
        <n v="316"/>
        <n v="654"/>
        <n v="168"/>
        <n v="381"/>
        <n v="217"/>
        <n v="501"/>
        <n v="650"/>
        <n v="141"/>
        <n v="804"/>
        <n v="975"/>
        <n v="1090"/>
        <n v="346"/>
        <n v="430"/>
        <n v="268"/>
        <n v="167"/>
        <n v="621"/>
        <n v="527"/>
        <n v="883"/>
        <n v="954"/>
        <n v="310"/>
        <n v="719"/>
        <n v="725"/>
        <n v="715"/>
        <n v="657"/>
        <n v="1146"/>
        <n v="182"/>
        <n v="376"/>
        <n v="571"/>
        <n v="384"/>
        <n v="791"/>
        <n v="1111"/>
        <n v="1243"/>
        <n v="1092"/>
        <n v="1325"/>
        <n v="805"/>
        <n v="213"/>
        <n v="118"/>
        <n v="676"/>
        <n v="1252"/>
        <n v="286"/>
        <n v="1258"/>
        <n v="932"/>
        <n v="1041"/>
        <n v="859"/>
        <n v="720"/>
        <n v="946"/>
        <n v="1184"/>
        <n v="436"/>
        <n v="589"/>
        <n v="760"/>
        <n v="887"/>
        <n v="1318"/>
        <n v="625"/>
        <n v="180"/>
        <n v="586"/>
        <n v="1012"/>
        <n v="661"/>
        <n v="930"/>
        <n v="342"/>
        <n v="1230"/>
        <n v="1271"/>
        <n v="1278"/>
        <n v="607"/>
        <n v="130"/>
        <n v="300"/>
        <n v="583"/>
        <n v="1418"/>
        <n v="1269"/>
        <n v="379"/>
        <n v="395"/>
        <n v="1265"/>
        <n v="1222"/>
        <n v="341"/>
        <n v="868"/>
        <n v="1231"/>
        <n v="102"/>
        <n v="881"/>
        <n v="1383"/>
        <n v="1075"/>
        <n v="374"/>
        <n v="1086"/>
        <n v="781"/>
        <n v="177"/>
        <n v="500"/>
        <n v="1425"/>
        <n v="1454"/>
        <n v="617"/>
        <n v="1085"/>
        <n v="995"/>
        <n v="1122"/>
        <n v="618"/>
        <n v="546"/>
        <n v="462"/>
        <n v="1198"/>
        <n v="1272"/>
        <n v="154"/>
        <n v="1137"/>
        <n v="1188"/>
        <n v="188"/>
        <n v="1333"/>
        <n v="867"/>
        <n v="263"/>
        <n v="938"/>
        <n v="129"/>
        <n v="616"/>
        <n v="498"/>
        <n v="1404"/>
        <n v="1053"/>
        <n v="289"/>
        <n v="1376"/>
        <n v="231"/>
        <n v="152"/>
        <n v="882"/>
        <n v="903"/>
        <n v="1379"/>
        <n v="335"/>
        <n v="722"/>
        <n v="461"/>
        <n v="974"/>
        <n v="1126"/>
        <n v="840"/>
        <n v="1134"/>
        <n v="248"/>
        <n v="955"/>
        <n v="939"/>
        <n v="1391"/>
        <n v="1206"/>
        <n v="287"/>
        <n v="1441"/>
        <n v="109"/>
        <n v="1066"/>
        <n v="277"/>
        <n v="466"/>
        <n v="1055"/>
        <n v="265"/>
        <n v="135"/>
        <n v="247"/>
        <n v="1035"/>
        <n v="266"/>
        <n v="145"/>
        <n v="1038"/>
        <n v="1234"/>
        <n v="1109"/>
        <n v="1089"/>
        <n v="788"/>
        <n v="124"/>
        <n v="660"/>
        <n v="1186"/>
        <n v="1464"/>
        <n v="796"/>
        <n v="415"/>
        <n v="769"/>
        <n v="1003"/>
        <n v="1366"/>
        <n v="330"/>
        <n v="1492"/>
        <n v="1204"/>
        <n v="309"/>
        <n v="1330"/>
        <n v="469"/>
        <n v="697"/>
        <n v="1262"/>
        <n v="1050"/>
        <n v="770"/>
        <n v="406"/>
        <n v="203"/>
        <n v="1308"/>
        <n v="984"/>
        <n v="439"/>
        <n v="793"/>
        <n v="1451"/>
        <n v="1182"/>
        <n v="174"/>
        <n v="490"/>
        <n v="718"/>
        <n v="433"/>
        <n v="773"/>
        <n v="603"/>
        <n v="874"/>
        <n v="367"/>
        <n v="199"/>
        <n v="481"/>
        <n v="647"/>
        <n v="1384"/>
        <n v="902"/>
        <n v="819"/>
        <n v="862"/>
        <n v="1457"/>
        <n v="977"/>
        <n v="942"/>
        <n v="1402"/>
        <n v="1421"/>
        <n v="1361"/>
        <n v="917"/>
        <n v="200"/>
        <n v="150"/>
        <n v="179"/>
        <n v="696"/>
        <n v="116"/>
        <n v="363"/>
        <n v="107"/>
        <n v="1465"/>
        <n v="458"/>
        <n v="1212"/>
        <n v="1103"/>
        <n v="966"/>
        <n v="1010"/>
        <n v="326"/>
        <n v="1098"/>
        <n v="969"/>
        <n v="1167"/>
        <n v="694"/>
        <n v="1320"/>
        <n v="536"/>
        <n v="373"/>
        <n v="599"/>
        <n v="251"/>
        <n v="131"/>
        <n v="237"/>
        <n v="1429"/>
        <n v="648"/>
        <n v="735"/>
        <n v="531"/>
        <n v="429"/>
        <n v="968"/>
        <n v="879"/>
        <n v="640"/>
        <n v="412"/>
        <n v="848"/>
        <n v="360"/>
        <n v="1138"/>
        <n v="325"/>
        <n v="1322"/>
        <n v="299"/>
        <n v="1030"/>
        <n v="634"/>
        <n v="524"/>
        <n v="256"/>
        <n v="1060"/>
        <n v="935"/>
        <n v="495"/>
        <n v="282"/>
        <n v="206"/>
        <n v="943"/>
        <n v="523"/>
        <n v="507"/>
        <n v="601"/>
        <n v="855"/>
        <n v="1291"/>
        <n v="1405"/>
        <n v="1369"/>
        <n v="999"/>
        <n v="1202"/>
        <n v="285"/>
        <n v="404"/>
        <n v="736"/>
        <n v="1498"/>
        <n v="1200"/>
        <n v="1439"/>
        <n v="499"/>
        <n v="205"/>
        <n v="683"/>
        <n v="1462"/>
        <n v="949"/>
        <n v="652"/>
        <n v="332"/>
        <n v="1475"/>
        <n v="337"/>
        <n v="971"/>
        <n v="1174"/>
        <n v="667"/>
        <n v="560"/>
        <n v="172"/>
        <n v="383"/>
        <n v="1255"/>
        <n v="359"/>
        <n v="401"/>
        <n v="377"/>
        <n v="592"/>
        <n v="1445"/>
        <n v="1221"/>
        <n v="866"/>
        <n v="981"/>
        <n v="447"/>
        <n v="1326"/>
        <n v="748"/>
        <n v="990"/>
        <n v="405"/>
        <n v="115"/>
        <n v="790"/>
        <n v="830"/>
        <n v="1193"/>
        <n v="1423"/>
        <n v="467"/>
        <n v="271"/>
        <n v="410"/>
        <n v="1083"/>
        <n v="516"/>
        <n v="224"/>
        <n v="136"/>
        <n v="1029"/>
        <n v="333"/>
        <n v="1440"/>
        <n v="674"/>
        <n v="1342"/>
        <n v="898"/>
        <n v="824"/>
        <n v="492"/>
        <n v="598"/>
        <n v="740"/>
        <n v="888"/>
        <n v="1288"/>
        <n v="104"/>
        <n v="1108"/>
        <n v="479"/>
        <n v="1351"/>
        <n v="474"/>
        <n v="437"/>
        <n v="884"/>
        <n v="1370"/>
        <n v="264"/>
        <n v="1059"/>
        <n v="563"/>
        <n v="457"/>
        <n v="1313"/>
        <n v="241"/>
        <n v="1015"/>
        <n v="336"/>
        <n v="1387"/>
        <n v="170"/>
        <n v="208"/>
        <n v="671"/>
        <n v="711"/>
        <n v="737"/>
        <n v="1470"/>
        <n v="365"/>
        <n v="763"/>
        <n v="567"/>
        <n v="486"/>
        <n v="772"/>
        <n v="301"/>
        <n v="311"/>
        <n v="584"/>
        <n v="880"/>
        <n v="392"/>
        <n v="148"/>
        <n v="708"/>
        <n v="1259"/>
        <n v="786"/>
        <n v="370"/>
        <n v="678"/>
        <n v="146"/>
        <n v="581"/>
        <n v="918"/>
        <n v="1238"/>
        <n v="585"/>
        <n v="741"/>
        <n v="552"/>
        <n v="369"/>
        <n v="717"/>
        <n v="543"/>
        <n v="964"/>
        <n v="792"/>
        <n v="611"/>
        <n v="176"/>
        <n v="897"/>
        <n v="600"/>
        <n v="1054"/>
        <n v="428"/>
        <n v="181"/>
        <n v="211"/>
        <n v="1079"/>
        <n v="590"/>
        <n v="305"/>
        <n v="953"/>
        <n v="478"/>
        <n v="1375"/>
        <n v="244"/>
        <n v="511"/>
        <n v="1294"/>
        <n v="196"/>
        <n v="734"/>
        <n v="1239"/>
        <n v="1253"/>
        <n v="1128"/>
        <n v="1336"/>
        <n v="234"/>
        <n v="766"/>
        <n v="261"/>
        <n v="1194"/>
        <n v="431"/>
        <n v="572"/>
        <n v="1422"/>
        <n v="1297"/>
        <n v="574"/>
        <n v="355"/>
        <n v="207"/>
        <n v="706"/>
        <n v="280"/>
        <n v="726"/>
        <n v="414"/>
        <n v="352"/>
        <n v="1224"/>
        <n v="459"/>
        <n v="1254"/>
        <n v="1131"/>
        <n v="835"/>
        <n v="1172"/>
        <n v="1266"/>
        <n v="783"/>
        <n v="219"/>
        <n v="1213"/>
        <n v="1096"/>
        <n v="1251"/>
        <n v="1394"/>
        <n v="605"/>
        <n v="1064"/>
        <n v="1337"/>
        <n v="937"/>
        <n v="157"/>
        <n v="754"/>
        <n v="1168"/>
        <n v="155"/>
        <n v="1444"/>
        <n v="189"/>
        <n v="911"/>
        <n v="1321"/>
        <n v="1154"/>
        <n v="557"/>
        <n v="642"/>
        <n v="801"/>
        <n v="161"/>
        <n v="1382"/>
        <n v="1037"/>
        <n v="105"/>
        <n v="582"/>
        <n v="704"/>
        <n v="345"/>
        <n v="1120"/>
        <n v="1378"/>
        <n v="468"/>
        <n v="613"/>
        <n v="1023"/>
        <n v="628"/>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startNum="1009" endNum="19999" groupInterval="2000"/>
        <groupItems count="12">
          <s v="&lt;1009"/>
          <s v="1009-3008"/>
          <s v="3009-5008"/>
          <s v="5009-7008"/>
          <s v="7009-9008"/>
          <s v="9009-11008"/>
          <s v="11009-13008"/>
          <s v="13009-15008"/>
          <s v="15009-17008"/>
          <s v="17009-19008"/>
          <s v="19009-21008"/>
          <s v="&gt;21009"/>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ount="1">
        <s v="Y"/>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x v="0"/>
    <x v="0"/>
    <x v="0"/>
    <x v="0"/>
    <n v="1"/>
    <n v="2"/>
    <s v="Life Sciences"/>
    <x v="0"/>
    <n v="1"/>
    <x v="0"/>
    <x v="0"/>
    <n v="94"/>
    <n v="3"/>
    <n v="2"/>
    <s v="Sales Executive"/>
    <x v="0"/>
    <s v="Single"/>
    <x v="0"/>
    <n v="19479"/>
    <n v="8"/>
    <x v="0"/>
    <x v="0"/>
    <n v="11"/>
    <n v="3"/>
    <n v="1"/>
    <n v="80"/>
    <n v="0"/>
    <n v="8"/>
    <n v="0"/>
    <n v="1"/>
    <n v="6"/>
    <n v="4"/>
    <n v="0"/>
    <n v="5"/>
  </r>
  <r>
    <x v="1"/>
    <x v="1"/>
    <x v="1"/>
    <x v="1"/>
    <x v="1"/>
    <n v="8"/>
    <n v="1"/>
    <s v="Life Sciences"/>
    <x v="0"/>
    <n v="2"/>
    <x v="1"/>
    <x v="1"/>
    <n v="61"/>
    <n v="2"/>
    <n v="2"/>
    <s v="Research Scientist"/>
    <x v="1"/>
    <s v="Married"/>
    <x v="1"/>
    <n v="24907"/>
    <n v="1"/>
    <x v="0"/>
    <x v="1"/>
    <n v="23"/>
    <n v="4"/>
    <n v="4"/>
    <n v="80"/>
    <n v="1"/>
    <n v="10"/>
    <n v="3"/>
    <n v="3"/>
    <n v="10"/>
    <n v="7"/>
    <n v="1"/>
    <n v="7"/>
  </r>
  <r>
    <x v="2"/>
    <x v="0"/>
    <x v="0"/>
    <x v="2"/>
    <x v="1"/>
    <n v="2"/>
    <n v="2"/>
    <s v="Other"/>
    <x v="0"/>
    <n v="4"/>
    <x v="2"/>
    <x v="1"/>
    <n v="92"/>
    <n v="2"/>
    <n v="1"/>
    <s v="Laboratory Technician"/>
    <x v="2"/>
    <s v="Single"/>
    <x v="2"/>
    <n v="2396"/>
    <n v="6"/>
    <x v="0"/>
    <x v="0"/>
    <n v="15"/>
    <n v="3"/>
    <n v="2"/>
    <n v="80"/>
    <n v="0"/>
    <n v="7"/>
    <n v="3"/>
    <n v="3"/>
    <n v="0"/>
    <n v="0"/>
    <n v="0"/>
    <n v="0"/>
  </r>
  <r>
    <x v="3"/>
    <x v="1"/>
    <x v="1"/>
    <x v="3"/>
    <x v="1"/>
    <n v="3"/>
    <n v="4"/>
    <s v="Life Sciences"/>
    <x v="0"/>
    <n v="5"/>
    <x v="2"/>
    <x v="0"/>
    <n v="56"/>
    <n v="3"/>
    <n v="1"/>
    <s v="Research Scientist"/>
    <x v="2"/>
    <s v="Married"/>
    <x v="3"/>
    <n v="23159"/>
    <n v="1"/>
    <x v="0"/>
    <x v="0"/>
    <n v="11"/>
    <n v="3"/>
    <n v="3"/>
    <n v="80"/>
    <n v="0"/>
    <n v="8"/>
    <n v="3"/>
    <n v="3"/>
    <n v="8"/>
    <n v="7"/>
    <n v="3"/>
    <n v="0"/>
  </r>
  <r>
    <x v="4"/>
    <x v="1"/>
    <x v="0"/>
    <x v="4"/>
    <x v="1"/>
    <n v="2"/>
    <n v="1"/>
    <s v="Medical"/>
    <x v="0"/>
    <n v="7"/>
    <x v="3"/>
    <x v="1"/>
    <n v="40"/>
    <n v="3"/>
    <n v="1"/>
    <s v="Laboratory Technician"/>
    <x v="1"/>
    <s v="Married"/>
    <x v="4"/>
    <n v="16632"/>
    <n v="9"/>
    <x v="0"/>
    <x v="1"/>
    <n v="12"/>
    <n v="3"/>
    <n v="4"/>
    <n v="80"/>
    <n v="1"/>
    <n v="6"/>
    <n v="3"/>
    <n v="3"/>
    <n v="2"/>
    <n v="2"/>
    <n v="2"/>
    <n v="2"/>
  </r>
  <r>
    <x v="5"/>
    <x v="1"/>
    <x v="1"/>
    <x v="5"/>
    <x v="1"/>
    <n v="2"/>
    <n v="2"/>
    <s v="Life Sciences"/>
    <x v="0"/>
    <n v="8"/>
    <x v="2"/>
    <x v="1"/>
    <n v="79"/>
    <n v="3"/>
    <n v="1"/>
    <s v="Laboratory Technician"/>
    <x v="0"/>
    <s v="Single"/>
    <x v="5"/>
    <n v="11864"/>
    <n v="0"/>
    <x v="0"/>
    <x v="1"/>
    <n v="13"/>
    <n v="3"/>
    <n v="3"/>
    <n v="80"/>
    <n v="0"/>
    <n v="8"/>
    <n v="2"/>
    <n v="2"/>
    <n v="7"/>
    <n v="7"/>
    <n v="3"/>
    <n v="6"/>
  </r>
  <r>
    <x v="6"/>
    <x v="1"/>
    <x v="0"/>
    <x v="6"/>
    <x v="1"/>
    <n v="3"/>
    <n v="3"/>
    <s v="Medical"/>
    <x v="0"/>
    <n v="10"/>
    <x v="1"/>
    <x v="0"/>
    <n v="81"/>
    <n v="4"/>
    <n v="1"/>
    <s v="Laboratory Technician"/>
    <x v="3"/>
    <s v="Married"/>
    <x v="6"/>
    <n v="9964"/>
    <n v="4"/>
    <x v="0"/>
    <x v="0"/>
    <n v="20"/>
    <n v="4"/>
    <n v="1"/>
    <n v="80"/>
    <n v="3"/>
    <n v="12"/>
    <n v="3"/>
    <n v="2"/>
    <n v="1"/>
    <n v="0"/>
    <n v="0"/>
    <n v="0"/>
  </r>
  <r>
    <x v="7"/>
    <x v="1"/>
    <x v="0"/>
    <x v="7"/>
    <x v="1"/>
    <n v="24"/>
    <n v="1"/>
    <s v="Life Sciences"/>
    <x v="0"/>
    <n v="11"/>
    <x v="2"/>
    <x v="1"/>
    <n v="67"/>
    <n v="3"/>
    <n v="1"/>
    <s v="Laboratory Technician"/>
    <x v="2"/>
    <s v="Divorced"/>
    <x v="7"/>
    <n v="13335"/>
    <n v="1"/>
    <x v="0"/>
    <x v="1"/>
    <n v="22"/>
    <n v="4"/>
    <n v="2"/>
    <n v="80"/>
    <n v="1"/>
    <n v="1"/>
    <n v="2"/>
    <n v="3"/>
    <n v="1"/>
    <n v="0"/>
    <n v="0"/>
    <n v="0"/>
  </r>
  <r>
    <x v="8"/>
    <x v="1"/>
    <x v="1"/>
    <x v="8"/>
    <x v="1"/>
    <n v="23"/>
    <n v="3"/>
    <s v="Life Sciences"/>
    <x v="0"/>
    <n v="12"/>
    <x v="2"/>
    <x v="1"/>
    <n v="44"/>
    <n v="2"/>
    <n v="3"/>
    <s v="Manufacturing Director"/>
    <x v="2"/>
    <s v="Single"/>
    <x v="8"/>
    <n v="8787"/>
    <n v="0"/>
    <x v="0"/>
    <x v="1"/>
    <n v="21"/>
    <n v="4"/>
    <n v="2"/>
    <n v="80"/>
    <n v="0"/>
    <n v="10"/>
    <n v="2"/>
    <n v="3"/>
    <n v="9"/>
    <n v="7"/>
    <n v="1"/>
    <n v="8"/>
  </r>
  <r>
    <x v="9"/>
    <x v="1"/>
    <x v="0"/>
    <x v="9"/>
    <x v="1"/>
    <n v="27"/>
    <n v="3"/>
    <s v="Medical"/>
    <x v="0"/>
    <n v="13"/>
    <x v="1"/>
    <x v="1"/>
    <n v="94"/>
    <n v="3"/>
    <n v="2"/>
    <s v="Healthcare Representative"/>
    <x v="2"/>
    <s v="Married"/>
    <x v="9"/>
    <n v="16577"/>
    <n v="6"/>
    <x v="0"/>
    <x v="1"/>
    <n v="13"/>
    <n v="3"/>
    <n v="2"/>
    <n v="80"/>
    <n v="2"/>
    <n v="17"/>
    <n v="3"/>
    <n v="2"/>
    <n v="7"/>
    <n v="7"/>
    <n v="7"/>
    <n v="7"/>
  </r>
  <r>
    <x v="10"/>
    <x v="1"/>
    <x v="0"/>
    <x v="10"/>
    <x v="1"/>
    <n v="16"/>
    <n v="3"/>
    <s v="Medical"/>
    <x v="0"/>
    <n v="14"/>
    <x v="3"/>
    <x v="1"/>
    <n v="84"/>
    <n v="4"/>
    <n v="1"/>
    <s v="Laboratory Technician"/>
    <x v="1"/>
    <s v="Married"/>
    <x v="10"/>
    <n v="16479"/>
    <n v="0"/>
    <x v="0"/>
    <x v="1"/>
    <n v="13"/>
    <n v="3"/>
    <n v="3"/>
    <n v="80"/>
    <n v="1"/>
    <n v="6"/>
    <n v="5"/>
    <n v="3"/>
    <n v="5"/>
    <n v="4"/>
    <n v="0"/>
    <n v="3"/>
  </r>
  <r>
    <x v="11"/>
    <x v="1"/>
    <x v="0"/>
    <x v="11"/>
    <x v="1"/>
    <n v="15"/>
    <n v="2"/>
    <s v="Life Sciences"/>
    <x v="0"/>
    <n v="15"/>
    <x v="2"/>
    <x v="0"/>
    <n v="49"/>
    <n v="2"/>
    <n v="2"/>
    <s v="Laboratory Technician"/>
    <x v="2"/>
    <s v="Single"/>
    <x v="11"/>
    <n v="12682"/>
    <n v="0"/>
    <x v="0"/>
    <x v="0"/>
    <n v="12"/>
    <n v="3"/>
    <n v="4"/>
    <n v="80"/>
    <n v="0"/>
    <n v="10"/>
    <n v="3"/>
    <n v="3"/>
    <n v="9"/>
    <n v="5"/>
    <n v="0"/>
    <n v="8"/>
  </r>
  <r>
    <x v="12"/>
    <x v="1"/>
    <x v="0"/>
    <x v="12"/>
    <x v="1"/>
    <n v="26"/>
    <n v="1"/>
    <s v="Life Sciences"/>
    <x v="0"/>
    <n v="16"/>
    <x v="3"/>
    <x v="1"/>
    <n v="31"/>
    <n v="3"/>
    <n v="1"/>
    <s v="Research Scientist"/>
    <x v="2"/>
    <s v="Divorced"/>
    <x v="12"/>
    <n v="15170"/>
    <n v="1"/>
    <x v="0"/>
    <x v="1"/>
    <n v="17"/>
    <n v="3"/>
    <n v="4"/>
    <n v="80"/>
    <n v="1"/>
    <n v="5"/>
    <n v="1"/>
    <n v="2"/>
    <n v="5"/>
    <n v="2"/>
    <n v="4"/>
    <n v="3"/>
  </r>
  <r>
    <x v="13"/>
    <x v="1"/>
    <x v="0"/>
    <x v="13"/>
    <x v="1"/>
    <n v="19"/>
    <n v="2"/>
    <s v="Medical"/>
    <x v="0"/>
    <n v="18"/>
    <x v="0"/>
    <x v="1"/>
    <n v="93"/>
    <n v="3"/>
    <n v="1"/>
    <s v="Laboratory Technician"/>
    <x v="0"/>
    <s v="Divorced"/>
    <x v="13"/>
    <n v="8758"/>
    <n v="0"/>
    <x v="0"/>
    <x v="1"/>
    <n v="11"/>
    <n v="3"/>
    <n v="3"/>
    <n v="80"/>
    <n v="1"/>
    <n v="3"/>
    <n v="2"/>
    <n v="3"/>
    <n v="2"/>
    <n v="2"/>
    <n v="1"/>
    <n v="2"/>
  </r>
  <r>
    <x v="14"/>
    <x v="0"/>
    <x v="0"/>
    <x v="14"/>
    <x v="1"/>
    <n v="24"/>
    <n v="3"/>
    <s v="Life Sciences"/>
    <x v="0"/>
    <n v="19"/>
    <x v="1"/>
    <x v="1"/>
    <n v="50"/>
    <n v="2"/>
    <n v="1"/>
    <s v="Laboratory Technician"/>
    <x v="2"/>
    <s v="Single"/>
    <x v="14"/>
    <n v="12947"/>
    <n v="5"/>
    <x v="0"/>
    <x v="0"/>
    <n v="14"/>
    <n v="3"/>
    <n v="2"/>
    <n v="80"/>
    <n v="0"/>
    <n v="6"/>
    <n v="4"/>
    <n v="3"/>
    <n v="4"/>
    <n v="2"/>
    <n v="0"/>
    <n v="3"/>
  </r>
  <r>
    <x v="11"/>
    <x v="1"/>
    <x v="0"/>
    <x v="15"/>
    <x v="1"/>
    <n v="21"/>
    <n v="4"/>
    <s v="Life Sciences"/>
    <x v="0"/>
    <n v="20"/>
    <x v="0"/>
    <x v="0"/>
    <n v="51"/>
    <n v="4"/>
    <n v="3"/>
    <s v="Manufacturing Director"/>
    <x v="3"/>
    <s v="Divorced"/>
    <x v="15"/>
    <n v="10195"/>
    <n v="1"/>
    <x v="0"/>
    <x v="1"/>
    <n v="11"/>
    <n v="3"/>
    <n v="3"/>
    <n v="80"/>
    <n v="1"/>
    <n v="10"/>
    <n v="1"/>
    <n v="3"/>
    <n v="10"/>
    <n v="9"/>
    <n v="8"/>
    <n v="8"/>
  </r>
  <r>
    <x v="5"/>
    <x v="1"/>
    <x v="0"/>
    <x v="16"/>
    <x v="1"/>
    <n v="5"/>
    <n v="2"/>
    <s v="Life Sciences"/>
    <x v="0"/>
    <n v="21"/>
    <x v="3"/>
    <x v="1"/>
    <n v="80"/>
    <n v="4"/>
    <n v="1"/>
    <s v="Research Scientist"/>
    <x v="1"/>
    <s v="Divorced"/>
    <x v="16"/>
    <n v="15053"/>
    <n v="0"/>
    <x v="0"/>
    <x v="0"/>
    <n v="12"/>
    <n v="3"/>
    <n v="4"/>
    <n v="80"/>
    <n v="2"/>
    <n v="7"/>
    <n v="5"/>
    <n v="2"/>
    <n v="6"/>
    <n v="2"/>
    <n v="0"/>
    <n v="5"/>
  </r>
  <r>
    <x v="15"/>
    <x v="1"/>
    <x v="2"/>
    <x v="17"/>
    <x v="1"/>
    <n v="16"/>
    <n v="2"/>
    <s v="Medical"/>
    <x v="0"/>
    <n v="22"/>
    <x v="2"/>
    <x v="1"/>
    <n v="96"/>
    <n v="4"/>
    <n v="1"/>
    <s v="Laboratory Technician"/>
    <x v="0"/>
    <s v="Divorced"/>
    <x v="17"/>
    <n v="7324"/>
    <n v="1"/>
    <x v="0"/>
    <x v="0"/>
    <n v="13"/>
    <n v="3"/>
    <n v="2"/>
    <n v="80"/>
    <n v="2"/>
    <n v="1"/>
    <n v="2"/>
    <n v="2"/>
    <n v="1"/>
    <n v="0"/>
    <n v="0"/>
    <n v="0"/>
  </r>
  <r>
    <x v="16"/>
    <x v="1"/>
    <x v="0"/>
    <x v="18"/>
    <x v="0"/>
    <n v="2"/>
    <n v="4"/>
    <s v="Life Sciences"/>
    <x v="0"/>
    <n v="23"/>
    <x v="3"/>
    <x v="0"/>
    <n v="78"/>
    <n v="2"/>
    <n v="4"/>
    <s v="Manager"/>
    <x v="0"/>
    <s v="Married"/>
    <x v="18"/>
    <n v="22021"/>
    <n v="2"/>
    <x v="0"/>
    <x v="1"/>
    <n v="16"/>
    <n v="3"/>
    <n v="3"/>
    <n v="80"/>
    <n v="0"/>
    <n v="31"/>
    <n v="3"/>
    <n v="3"/>
    <n v="25"/>
    <n v="8"/>
    <n v="3"/>
    <n v="7"/>
  </r>
  <r>
    <x v="8"/>
    <x v="1"/>
    <x v="0"/>
    <x v="19"/>
    <x v="1"/>
    <n v="2"/>
    <n v="3"/>
    <s v="Life Sciences"/>
    <x v="0"/>
    <n v="24"/>
    <x v="2"/>
    <x v="1"/>
    <n v="45"/>
    <n v="3"/>
    <n v="1"/>
    <s v="Research Scientist"/>
    <x v="0"/>
    <s v="Single"/>
    <x v="19"/>
    <n v="4306"/>
    <n v="5"/>
    <x v="0"/>
    <x v="0"/>
    <n v="11"/>
    <n v="3"/>
    <n v="3"/>
    <n v="80"/>
    <n v="0"/>
    <n v="6"/>
    <n v="3"/>
    <n v="3"/>
    <n v="3"/>
    <n v="2"/>
    <n v="1"/>
    <n v="2"/>
  </r>
  <r>
    <x v="17"/>
    <x v="1"/>
    <x v="2"/>
    <x v="20"/>
    <x v="1"/>
    <n v="11"/>
    <n v="2"/>
    <s v="Other"/>
    <x v="0"/>
    <n v="26"/>
    <x v="3"/>
    <x v="0"/>
    <n v="96"/>
    <n v="4"/>
    <n v="2"/>
    <s v="Manufacturing Director"/>
    <x v="2"/>
    <s v="Divorced"/>
    <x v="20"/>
    <n v="8232"/>
    <n v="0"/>
    <x v="0"/>
    <x v="1"/>
    <n v="18"/>
    <n v="3"/>
    <n v="4"/>
    <n v="80"/>
    <n v="1"/>
    <n v="5"/>
    <n v="5"/>
    <n v="2"/>
    <n v="4"/>
    <n v="2"/>
    <n v="1"/>
    <n v="3"/>
  </r>
  <r>
    <x v="9"/>
    <x v="0"/>
    <x v="0"/>
    <x v="21"/>
    <x v="0"/>
    <n v="9"/>
    <n v="4"/>
    <s v="Life Sciences"/>
    <x v="0"/>
    <n v="27"/>
    <x v="1"/>
    <x v="1"/>
    <n v="82"/>
    <n v="2"/>
    <n v="1"/>
    <s v="Sales Representative"/>
    <x v="3"/>
    <s v="Single"/>
    <x v="21"/>
    <n v="6986"/>
    <n v="7"/>
    <x v="0"/>
    <x v="1"/>
    <n v="23"/>
    <n v="4"/>
    <n v="2"/>
    <n v="80"/>
    <n v="0"/>
    <n v="10"/>
    <n v="4"/>
    <n v="3"/>
    <n v="5"/>
    <n v="3"/>
    <n v="0"/>
    <n v="3"/>
  </r>
  <r>
    <x v="13"/>
    <x v="1"/>
    <x v="0"/>
    <x v="22"/>
    <x v="1"/>
    <n v="7"/>
    <n v="4"/>
    <s v="Life Sciences"/>
    <x v="0"/>
    <n v="28"/>
    <x v="3"/>
    <x v="0"/>
    <n v="53"/>
    <n v="3"/>
    <n v="3"/>
    <s v="Research Director"/>
    <x v="1"/>
    <s v="Single"/>
    <x v="22"/>
    <n v="21293"/>
    <n v="0"/>
    <x v="0"/>
    <x v="1"/>
    <n v="11"/>
    <n v="3"/>
    <n v="3"/>
    <n v="80"/>
    <n v="0"/>
    <n v="13"/>
    <n v="4"/>
    <n v="3"/>
    <n v="12"/>
    <n v="6"/>
    <n v="2"/>
    <n v="11"/>
  </r>
  <r>
    <x v="18"/>
    <x v="1"/>
    <x v="0"/>
    <x v="23"/>
    <x v="1"/>
    <n v="15"/>
    <n v="2"/>
    <s v="Life Sciences"/>
    <x v="0"/>
    <n v="30"/>
    <x v="1"/>
    <x v="1"/>
    <n v="96"/>
    <n v="3"/>
    <n v="1"/>
    <s v="Research Scientist"/>
    <x v="0"/>
    <s v="Single"/>
    <x v="23"/>
    <n v="19281"/>
    <n v="1"/>
    <x v="0"/>
    <x v="1"/>
    <n v="14"/>
    <n v="3"/>
    <n v="4"/>
    <n v="80"/>
    <n v="0"/>
    <n v="0"/>
    <n v="6"/>
    <n v="3"/>
    <n v="0"/>
    <n v="0"/>
    <n v="0"/>
    <n v="0"/>
  </r>
  <r>
    <x v="13"/>
    <x v="0"/>
    <x v="0"/>
    <x v="24"/>
    <x v="1"/>
    <n v="6"/>
    <n v="1"/>
    <s v="Medical"/>
    <x v="0"/>
    <n v="31"/>
    <x v="0"/>
    <x v="1"/>
    <n v="83"/>
    <n v="3"/>
    <n v="1"/>
    <s v="Research Scientist"/>
    <x v="3"/>
    <s v="Single"/>
    <x v="24"/>
    <n v="17102"/>
    <n v="2"/>
    <x v="0"/>
    <x v="1"/>
    <n v="11"/>
    <n v="3"/>
    <n v="3"/>
    <n v="80"/>
    <n v="0"/>
    <n v="8"/>
    <n v="2"/>
    <n v="3"/>
    <n v="4"/>
    <n v="2"/>
    <n v="1"/>
    <n v="3"/>
  </r>
  <r>
    <x v="16"/>
    <x v="1"/>
    <x v="0"/>
    <x v="25"/>
    <x v="1"/>
    <n v="5"/>
    <n v="3"/>
    <s v="Other"/>
    <x v="0"/>
    <n v="32"/>
    <x v="1"/>
    <x v="0"/>
    <n v="58"/>
    <n v="3"/>
    <n v="5"/>
    <s v="Manager"/>
    <x v="2"/>
    <s v="Divorced"/>
    <x v="25"/>
    <n v="10735"/>
    <n v="4"/>
    <x v="0"/>
    <x v="1"/>
    <n v="11"/>
    <n v="3"/>
    <n v="4"/>
    <n v="80"/>
    <n v="1"/>
    <n v="26"/>
    <n v="3"/>
    <n v="2"/>
    <n v="14"/>
    <n v="13"/>
    <n v="4"/>
    <n v="8"/>
  </r>
  <r>
    <x v="5"/>
    <x v="0"/>
    <x v="1"/>
    <x v="26"/>
    <x v="1"/>
    <n v="16"/>
    <n v="1"/>
    <s v="Life Sciences"/>
    <x v="0"/>
    <n v="33"/>
    <x v="0"/>
    <x v="0"/>
    <n v="72"/>
    <n v="1"/>
    <n v="1"/>
    <s v="Research Scientist"/>
    <x v="3"/>
    <s v="Single"/>
    <x v="26"/>
    <n v="4681"/>
    <n v="1"/>
    <x v="0"/>
    <x v="0"/>
    <n v="22"/>
    <n v="4"/>
    <n v="2"/>
    <n v="80"/>
    <n v="0"/>
    <n v="10"/>
    <n v="5"/>
    <n v="3"/>
    <n v="10"/>
    <n v="2"/>
    <n v="6"/>
    <n v="7"/>
  </r>
  <r>
    <x v="19"/>
    <x v="1"/>
    <x v="0"/>
    <x v="27"/>
    <x v="0"/>
    <n v="8"/>
    <n v="4"/>
    <s v="Marketing"/>
    <x v="0"/>
    <n v="35"/>
    <x v="1"/>
    <x v="1"/>
    <n v="48"/>
    <n v="3"/>
    <n v="2"/>
    <s v="Sales Executive"/>
    <x v="1"/>
    <s v="Married"/>
    <x v="27"/>
    <n v="21173"/>
    <n v="0"/>
    <x v="0"/>
    <x v="1"/>
    <n v="11"/>
    <n v="3"/>
    <n v="4"/>
    <n v="80"/>
    <n v="1"/>
    <n v="10"/>
    <n v="2"/>
    <n v="3"/>
    <n v="9"/>
    <n v="7"/>
    <n v="4"/>
    <n v="2"/>
  </r>
  <r>
    <x v="20"/>
    <x v="1"/>
    <x v="0"/>
    <x v="28"/>
    <x v="1"/>
    <n v="7"/>
    <n v="4"/>
    <s v="Medical"/>
    <x v="0"/>
    <n v="36"/>
    <x v="3"/>
    <x v="0"/>
    <n v="42"/>
    <n v="2"/>
    <n v="3"/>
    <s v="Healthcare Representative"/>
    <x v="0"/>
    <s v="Married"/>
    <x v="28"/>
    <n v="2094"/>
    <n v="3"/>
    <x v="0"/>
    <x v="1"/>
    <n v="14"/>
    <n v="3"/>
    <n v="4"/>
    <n v="80"/>
    <n v="1"/>
    <n v="24"/>
    <n v="4"/>
    <n v="3"/>
    <n v="22"/>
    <n v="6"/>
    <n v="5"/>
    <n v="17"/>
  </r>
  <r>
    <x v="21"/>
    <x v="1"/>
    <x v="0"/>
    <x v="29"/>
    <x v="0"/>
    <n v="2"/>
    <n v="4"/>
    <s v="Marketing"/>
    <x v="0"/>
    <n v="38"/>
    <x v="0"/>
    <x v="0"/>
    <n v="83"/>
    <n v="3"/>
    <n v="5"/>
    <s v="Manager"/>
    <x v="3"/>
    <s v="Single"/>
    <x v="29"/>
    <n v="22822"/>
    <n v="3"/>
    <x v="0"/>
    <x v="1"/>
    <n v="12"/>
    <n v="3"/>
    <n v="4"/>
    <n v="80"/>
    <n v="0"/>
    <n v="22"/>
    <n v="2"/>
    <n v="2"/>
    <n v="2"/>
    <n v="2"/>
    <n v="2"/>
    <n v="1"/>
  </r>
  <r>
    <x v="3"/>
    <x v="1"/>
    <x v="0"/>
    <x v="30"/>
    <x v="1"/>
    <n v="2"/>
    <n v="3"/>
    <s v="Medical"/>
    <x v="0"/>
    <n v="39"/>
    <x v="1"/>
    <x v="1"/>
    <n v="78"/>
    <n v="3"/>
    <n v="1"/>
    <s v="Laboratory Technician"/>
    <x v="0"/>
    <s v="Single"/>
    <x v="30"/>
    <n v="6670"/>
    <n v="4"/>
    <x v="0"/>
    <x v="1"/>
    <n v="11"/>
    <n v="3"/>
    <n v="4"/>
    <n v="80"/>
    <n v="0"/>
    <n v="7"/>
    <n v="3"/>
    <n v="3"/>
    <n v="1"/>
    <n v="1"/>
    <n v="0"/>
    <n v="0"/>
  </r>
  <r>
    <x v="20"/>
    <x v="1"/>
    <x v="0"/>
    <x v="31"/>
    <x v="1"/>
    <n v="10"/>
    <n v="4"/>
    <s v="Other"/>
    <x v="0"/>
    <n v="40"/>
    <x v="2"/>
    <x v="1"/>
    <n v="41"/>
    <n v="3"/>
    <n v="2"/>
    <s v="Healthcare Representative"/>
    <x v="0"/>
    <s v="Married"/>
    <x v="31"/>
    <n v="19121"/>
    <n v="2"/>
    <x v="0"/>
    <x v="0"/>
    <n v="13"/>
    <n v="3"/>
    <n v="4"/>
    <n v="80"/>
    <n v="0"/>
    <n v="9"/>
    <n v="5"/>
    <n v="4"/>
    <n v="4"/>
    <n v="2"/>
    <n v="1"/>
    <n v="3"/>
  </r>
  <r>
    <x v="7"/>
    <x v="1"/>
    <x v="0"/>
    <x v="32"/>
    <x v="1"/>
    <n v="9"/>
    <n v="2"/>
    <s v="Medical"/>
    <x v="0"/>
    <n v="41"/>
    <x v="2"/>
    <x v="1"/>
    <n v="83"/>
    <n v="2"/>
    <n v="1"/>
    <s v="Laboratory Technician"/>
    <x v="2"/>
    <s v="Single"/>
    <x v="32"/>
    <n v="16117"/>
    <n v="1"/>
    <x v="0"/>
    <x v="1"/>
    <n v="13"/>
    <n v="3"/>
    <n v="1"/>
    <n v="80"/>
    <n v="0"/>
    <n v="10"/>
    <n v="5"/>
    <n v="3"/>
    <n v="10"/>
    <n v="0"/>
    <n v="1"/>
    <n v="8"/>
  </r>
  <r>
    <x v="22"/>
    <x v="0"/>
    <x v="0"/>
    <x v="33"/>
    <x v="0"/>
    <n v="5"/>
    <n v="3"/>
    <s v="Technical Degree"/>
    <x v="0"/>
    <n v="42"/>
    <x v="2"/>
    <x v="1"/>
    <n v="56"/>
    <n v="3"/>
    <n v="2"/>
    <s v="Sales Representative"/>
    <x v="0"/>
    <s v="Married"/>
    <x v="33"/>
    <n v="3335"/>
    <n v="3"/>
    <x v="0"/>
    <x v="1"/>
    <n v="14"/>
    <n v="3"/>
    <n v="3"/>
    <n v="80"/>
    <n v="1"/>
    <n v="19"/>
    <n v="6"/>
    <n v="4"/>
    <n v="1"/>
    <n v="0"/>
    <n v="0"/>
    <n v="0"/>
  </r>
  <r>
    <x v="17"/>
    <x v="0"/>
    <x v="0"/>
    <x v="34"/>
    <x v="1"/>
    <n v="1"/>
    <n v="3"/>
    <s v="Medical"/>
    <x v="0"/>
    <n v="45"/>
    <x v="0"/>
    <x v="1"/>
    <n v="61"/>
    <n v="3"/>
    <n v="1"/>
    <s v="Research Scientist"/>
    <x v="0"/>
    <s v="Married"/>
    <x v="34"/>
    <n v="3020"/>
    <n v="2"/>
    <x v="0"/>
    <x v="0"/>
    <n v="16"/>
    <n v="3"/>
    <n v="1"/>
    <n v="80"/>
    <n v="1"/>
    <n v="6"/>
    <n v="2"/>
    <n v="2"/>
    <n v="2"/>
    <n v="0"/>
    <n v="2"/>
    <n v="0"/>
  </r>
  <r>
    <x v="23"/>
    <x v="1"/>
    <x v="0"/>
    <x v="35"/>
    <x v="1"/>
    <n v="2"/>
    <n v="2"/>
    <s v="Medical"/>
    <x v="0"/>
    <n v="46"/>
    <x v="2"/>
    <x v="0"/>
    <n v="72"/>
    <n v="4"/>
    <n v="1"/>
    <s v="Research Scientist"/>
    <x v="2"/>
    <s v="Divorced"/>
    <x v="35"/>
    <n v="21923"/>
    <n v="1"/>
    <x v="0"/>
    <x v="1"/>
    <n v="12"/>
    <n v="3"/>
    <n v="4"/>
    <n v="80"/>
    <n v="2"/>
    <n v="6"/>
    <n v="3"/>
    <n v="2"/>
    <n v="5"/>
    <n v="3"/>
    <n v="1"/>
    <n v="4"/>
  </r>
  <r>
    <x v="24"/>
    <x v="0"/>
    <x v="0"/>
    <x v="36"/>
    <x v="0"/>
    <n v="3"/>
    <n v="2"/>
    <s v="Marketing"/>
    <x v="0"/>
    <n v="47"/>
    <x v="3"/>
    <x v="1"/>
    <n v="86"/>
    <n v="2"/>
    <n v="1"/>
    <s v="Sales Representative"/>
    <x v="2"/>
    <s v="Married"/>
    <x v="36"/>
    <n v="3810"/>
    <n v="1"/>
    <x v="0"/>
    <x v="0"/>
    <n v="14"/>
    <n v="3"/>
    <n v="3"/>
    <n v="80"/>
    <n v="0"/>
    <n v="3"/>
    <n v="2"/>
    <n v="3"/>
    <n v="3"/>
    <n v="2"/>
    <n v="0"/>
    <n v="2"/>
  </r>
  <r>
    <x v="10"/>
    <x v="1"/>
    <x v="0"/>
    <x v="37"/>
    <x v="0"/>
    <n v="2"/>
    <n v="3"/>
    <s v="Marketing"/>
    <x v="0"/>
    <n v="49"/>
    <x v="2"/>
    <x v="0"/>
    <n v="97"/>
    <n v="3"/>
    <n v="1"/>
    <s v="Sales Representative"/>
    <x v="0"/>
    <s v="Married"/>
    <x v="37"/>
    <n v="9687"/>
    <n v="1"/>
    <x v="0"/>
    <x v="1"/>
    <n v="13"/>
    <n v="3"/>
    <n v="1"/>
    <n v="80"/>
    <n v="0"/>
    <n v="2"/>
    <n v="3"/>
    <n v="3"/>
    <n v="2"/>
    <n v="2"/>
    <n v="2"/>
    <n v="2"/>
  </r>
  <r>
    <x v="9"/>
    <x v="1"/>
    <x v="0"/>
    <x v="38"/>
    <x v="1"/>
    <n v="5"/>
    <n v="4"/>
    <s v="Life Sciences"/>
    <x v="0"/>
    <n v="51"/>
    <x v="0"/>
    <x v="0"/>
    <n v="82"/>
    <n v="2"/>
    <n v="1"/>
    <s v="Research Scientist"/>
    <x v="3"/>
    <s v="Married"/>
    <x v="38"/>
    <n v="13072"/>
    <n v="9"/>
    <x v="0"/>
    <x v="0"/>
    <n v="14"/>
    <n v="3"/>
    <n v="4"/>
    <n v="80"/>
    <n v="1"/>
    <n v="6"/>
    <n v="3"/>
    <n v="4"/>
    <n v="1"/>
    <n v="1"/>
    <n v="0"/>
    <n v="0"/>
  </r>
  <r>
    <x v="3"/>
    <x v="1"/>
    <x v="1"/>
    <x v="39"/>
    <x v="0"/>
    <n v="1"/>
    <n v="3"/>
    <s v="Life Sciences"/>
    <x v="0"/>
    <n v="52"/>
    <x v="1"/>
    <x v="0"/>
    <n v="42"/>
    <n v="4"/>
    <n v="2"/>
    <s v="Sales Executive"/>
    <x v="3"/>
    <s v="Married"/>
    <x v="39"/>
    <n v="3193"/>
    <n v="2"/>
    <x v="0"/>
    <x v="1"/>
    <n v="19"/>
    <n v="3"/>
    <n v="1"/>
    <n v="80"/>
    <n v="2"/>
    <n v="10"/>
    <n v="3"/>
    <n v="3"/>
    <n v="5"/>
    <n v="3"/>
    <n v="1"/>
    <n v="3"/>
  </r>
  <r>
    <x v="10"/>
    <x v="1"/>
    <x v="0"/>
    <x v="40"/>
    <x v="1"/>
    <n v="4"/>
    <n v="2"/>
    <s v="Other"/>
    <x v="0"/>
    <n v="53"/>
    <x v="1"/>
    <x v="1"/>
    <n v="75"/>
    <n v="3"/>
    <n v="1"/>
    <s v="Laboratory Technician"/>
    <x v="0"/>
    <s v="Divorced"/>
    <x v="40"/>
    <n v="10910"/>
    <n v="1"/>
    <x v="0"/>
    <x v="1"/>
    <n v="12"/>
    <n v="3"/>
    <n v="3"/>
    <n v="80"/>
    <n v="1"/>
    <n v="1"/>
    <n v="3"/>
    <n v="3"/>
    <n v="1"/>
    <n v="0"/>
    <n v="0"/>
    <n v="0"/>
  </r>
  <r>
    <x v="4"/>
    <x v="1"/>
    <x v="0"/>
    <x v="41"/>
    <x v="1"/>
    <n v="2"/>
    <n v="4"/>
    <s v="Life Sciences"/>
    <x v="0"/>
    <n v="54"/>
    <x v="2"/>
    <x v="0"/>
    <n v="33"/>
    <n v="3"/>
    <n v="1"/>
    <s v="Laboratory Technician"/>
    <x v="3"/>
    <s v="Divorced"/>
    <x v="41"/>
    <n v="19715"/>
    <n v="1"/>
    <x v="0"/>
    <x v="1"/>
    <n v="13"/>
    <n v="3"/>
    <n v="4"/>
    <n v="80"/>
    <n v="1"/>
    <n v="1"/>
    <n v="6"/>
    <n v="3"/>
    <n v="1"/>
    <n v="0"/>
    <n v="0"/>
    <n v="0"/>
  </r>
  <r>
    <x v="25"/>
    <x v="0"/>
    <x v="0"/>
    <x v="42"/>
    <x v="1"/>
    <n v="25"/>
    <n v="3"/>
    <s v="Life Sciences"/>
    <x v="0"/>
    <n v="55"/>
    <x v="3"/>
    <x v="1"/>
    <n v="48"/>
    <n v="1"/>
    <n v="1"/>
    <s v="Laboratory Technician"/>
    <x v="2"/>
    <s v="Single"/>
    <x v="34"/>
    <n v="10558"/>
    <n v="1"/>
    <x v="0"/>
    <x v="1"/>
    <n v="12"/>
    <n v="3"/>
    <n v="3"/>
    <n v="80"/>
    <n v="0"/>
    <n v="1"/>
    <n v="2"/>
    <n v="2"/>
    <n v="1"/>
    <n v="0"/>
    <n v="0"/>
    <n v="1"/>
  </r>
  <r>
    <x v="4"/>
    <x v="1"/>
    <x v="1"/>
    <x v="43"/>
    <x v="0"/>
    <n v="8"/>
    <n v="3"/>
    <s v="Life Sciences"/>
    <x v="0"/>
    <n v="56"/>
    <x v="2"/>
    <x v="1"/>
    <n v="37"/>
    <n v="3"/>
    <n v="3"/>
    <s v="Sales Executive"/>
    <x v="2"/>
    <s v="Single"/>
    <x v="42"/>
    <n v="2975"/>
    <n v="1"/>
    <x v="0"/>
    <x v="1"/>
    <n v="15"/>
    <n v="3"/>
    <n v="4"/>
    <n v="80"/>
    <n v="0"/>
    <n v="9"/>
    <n v="0"/>
    <n v="3"/>
    <n v="9"/>
    <n v="8"/>
    <n v="1"/>
    <n v="7"/>
  </r>
  <r>
    <x v="7"/>
    <x v="1"/>
    <x v="1"/>
    <x v="44"/>
    <x v="1"/>
    <n v="1"/>
    <n v="2"/>
    <s v="Medical"/>
    <x v="0"/>
    <n v="57"/>
    <x v="1"/>
    <x v="0"/>
    <n v="58"/>
    <n v="3"/>
    <n v="2"/>
    <s v="Laboratory Technician"/>
    <x v="0"/>
    <s v="Single"/>
    <x v="20"/>
    <n v="10781"/>
    <n v="1"/>
    <x v="0"/>
    <x v="1"/>
    <n v="23"/>
    <n v="4"/>
    <n v="4"/>
    <n v="80"/>
    <n v="0"/>
    <n v="12"/>
    <n v="2"/>
    <n v="3"/>
    <n v="12"/>
    <n v="8"/>
    <n v="3"/>
    <n v="7"/>
  </r>
  <r>
    <x v="0"/>
    <x v="0"/>
    <x v="0"/>
    <x v="45"/>
    <x v="1"/>
    <n v="12"/>
    <n v="3"/>
    <s v="Technical Degree"/>
    <x v="0"/>
    <n v="58"/>
    <x v="0"/>
    <x v="0"/>
    <n v="49"/>
    <n v="3"/>
    <n v="5"/>
    <s v="Research Director"/>
    <x v="2"/>
    <s v="Married"/>
    <x v="43"/>
    <n v="16280"/>
    <n v="1"/>
    <x v="0"/>
    <x v="1"/>
    <n v="12"/>
    <n v="3"/>
    <n v="4"/>
    <n v="80"/>
    <n v="0"/>
    <n v="23"/>
    <n v="0"/>
    <n v="3"/>
    <n v="22"/>
    <n v="15"/>
    <n v="15"/>
    <n v="8"/>
  </r>
  <r>
    <x v="13"/>
    <x v="1"/>
    <x v="2"/>
    <x v="46"/>
    <x v="0"/>
    <n v="23"/>
    <n v="4"/>
    <s v="Marketing"/>
    <x v="0"/>
    <n v="60"/>
    <x v="0"/>
    <x v="1"/>
    <n v="72"/>
    <n v="3"/>
    <n v="2"/>
    <s v="Sales Executive"/>
    <x v="2"/>
    <s v="Single"/>
    <x v="44"/>
    <n v="10034"/>
    <n v="0"/>
    <x v="0"/>
    <x v="1"/>
    <n v="20"/>
    <n v="4"/>
    <n v="3"/>
    <n v="80"/>
    <n v="0"/>
    <n v="10"/>
    <n v="2"/>
    <n v="3"/>
    <n v="9"/>
    <n v="5"/>
    <n v="8"/>
    <n v="7"/>
  </r>
  <r>
    <x v="2"/>
    <x v="1"/>
    <x v="0"/>
    <x v="47"/>
    <x v="1"/>
    <n v="19"/>
    <n v="2"/>
    <s v="Life Sciences"/>
    <x v="0"/>
    <n v="61"/>
    <x v="0"/>
    <x v="1"/>
    <n v="73"/>
    <n v="3"/>
    <n v="1"/>
    <s v="Research Scientist"/>
    <x v="1"/>
    <s v="Married"/>
    <x v="45"/>
    <n v="10227"/>
    <n v="4"/>
    <x v="0"/>
    <x v="1"/>
    <n v="21"/>
    <n v="4"/>
    <n v="1"/>
    <n v="80"/>
    <n v="0"/>
    <n v="8"/>
    <n v="1"/>
    <n v="3"/>
    <n v="1"/>
    <n v="0"/>
    <n v="0"/>
    <n v="0"/>
  </r>
  <r>
    <x v="21"/>
    <x v="1"/>
    <x v="1"/>
    <x v="48"/>
    <x v="0"/>
    <n v="5"/>
    <n v="4"/>
    <s v="Marketing"/>
    <x v="0"/>
    <n v="62"/>
    <x v="3"/>
    <x v="1"/>
    <n v="98"/>
    <n v="3"/>
    <n v="2"/>
    <s v="Sales Executive"/>
    <x v="0"/>
    <s v="Single"/>
    <x v="46"/>
    <n v="20445"/>
    <n v="4"/>
    <x v="0"/>
    <x v="0"/>
    <n v="21"/>
    <n v="4"/>
    <n v="3"/>
    <n v="80"/>
    <n v="0"/>
    <n v="14"/>
    <n v="4"/>
    <n v="3"/>
    <n v="9"/>
    <n v="6"/>
    <n v="0"/>
    <n v="8"/>
  </r>
  <r>
    <x v="10"/>
    <x v="1"/>
    <x v="0"/>
    <x v="49"/>
    <x v="1"/>
    <n v="8"/>
    <n v="1"/>
    <s v="Life Sciences"/>
    <x v="0"/>
    <n v="63"/>
    <x v="2"/>
    <x v="1"/>
    <n v="36"/>
    <n v="4"/>
    <n v="1"/>
    <s v="Laboratory Technician"/>
    <x v="0"/>
    <s v="Married"/>
    <x v="47"/>
    <n v="4892"/>
    <n v="1"/>
    <x v="0"/>
    <x v="1"/>
    <n v="19"/>
    <n v="3"/>
    <n v="4"/>
    <n v="80"/>
    <n v="0"/>
    <n v="1"/>
    <n v="2"/>
    <n v="3"/>
    <n v="1"/>
    <n v="0"/>
    <n v="0"/>
    <n v="1"/>
  </r>
  <r>
    <x v="26"/>
    <x v="0"/>
    <x v="0"/>
    <x v="50"/>
    <x v="1"/>
    <n v="1"/>
    <n v="2"/>
    <s v="Life Sciences"/>
    <x v="0"/>
    <n v="64"/>
    <x v="3"/>
    <x v="1"/>
    <n v="98"/>
    <n v="2"/>
    <n v="3"/>
    <s v="Laboratory Technician"/>
    <x v="2"/>
    <s v="Single"/>
    <x v="48"/>
    <n v="19294"/>
    <n v="9"/>
    <x v="0"/>
    <x v="0"/>
    <n v="13"/>
    <n v="3"/>
    <n v="4"/>
    <n v="80"/>
    <n v="0"/>
    <n v="23"/>
    <n v="2"/>
    <n v="3"/>
    <n v="1"/>
    <n v="0"/>
    <n v="0"/>
    <n v="0"/>
  </r>
  <r>
    <x v="14"/>
    <x v="0"/>
    <x v="0"/>
    <x v="51"/>
    <x v="1"/>
    <n v="5"/>
    <n v="4"/>
    <s v="Technical Degree"/>
    <x v="0"/>
    <n v="65"/>
    <x v="1"/>
    <x v="1"/>
    <n v="50"/>
    <n v="3"/>
    <n v="1"/>
    <s v="Laboratory Technician"/>
    <x v="2"/>
    <s v="Single"/>
    <x v="49"/>
    <n v="11179"/>
    <n v="1"/>
    <x v="0"/>
    <x v="0"/>
    <n v="13"/>
    <n v="3"/>
    <n v="3"/>
    <n v="80"/>
    <n v="0"/>
    <n v="2"/>
    <n v="3"/>
    <n v="2"/>
    <n v="2"/>
    <n v="2"/>
    <n v="2"/>
    <n v="2"/>
  </r>
  <r>
    <x v="20"/>
    <x v="1"/>
    <x v="0"/>
    <x v="52"/>
    <x v="0"/>
    <n v="1"/>
    <n v="5"/>
    <s v="Marketing"/>
    <x v="0"/>
    <n v="68"/>
    <x v="0"/>
    <x v="0"/>
    <n v="75"/>
    <n v="3"/>
    <n v="2"/>
    <s v="Sales Executive"/>
    <x v="3"/>
    <s v="Divorced"/>
    <x v="50"/>
    <n v="4009"/>
    <n v="5"/>
    <x v="0"/>
    <x v="0"/>
    <n v="21"/>
    <n v="4"/>
    <n v="3"/>
    <n v="80"/>
    <n v="1"/>
    <n v="9"/>
    <n v="2"/>
    <n v="2"/>
    <n v="4"/>
    <n v="3"/>
    <n v="1"/>
    <n v="3"/>
  </r>
  <r>
    <x v="10"/>
    <x v="1"/>
    <x v="2"/>
    <x v="53"/>
    <x v="1"/>
    <n v="11"/>
    <n v="2"/>
    <s v="Medical"/>
    <x v="0"/>
    <n v="70"/>
    <x v="1"/>
    <x v="1"/>
    <n v="79"/>
    <n v="2"/>
    <n v="3"/>
    <s v="Healthcare Representative"/>
    <x v="3"/>
    <s v="Married"/>
    <x v="51"/>
    <n v="8302"/>
    <n v="2"/>
    <x v="0"/>
    <x v="0"/>
    <n v="13"/>
    <n v="3"/>
    <n v="3"/>
    <n v="80"/>
    <n v="1"/>
    <n v="10"/>
    <n v="3"/>
    <n v="3"/>
    <n v="4"/>
    <n v="0"/>
    <n v="2"/>
    <n v="3"/>
  </r>
  <r>
    <x v="25"/>
    <x v="1"/>
    <x v="0"/>
    <x v="54"/>
    <x v="0"/>
    <n v="23"/>
    <n v="3"/>
    <s v="Marketing"/>
    <x v="0"/>
    <n v="72"/>
    <x v="1"/>
    <x v="0"/>
    <n v="47"/>
    <n v="2"/>
    <n v="2"/>
    <s v="Sales Executive"/>
    <x v="0"/>
    <s v="Married"/>
    <x v="52"/>
    <n v="21436"/>
    <n v="7"/>
    <x v="0"/>
    <x v="0"/>
    <n v="19"/>
    <n v="3"/>
    <n v="3"/>
    <n v="80"/>
    <n v="1"/>
    <n v="5"/>
    <n v="2"/>
    <n v="2"/>
    <n v="2"/>
    <n v="2"/>
    <n v="0"/>
    <n v="0"/>
  </r>
  <r>
    <x v="3"/>
    <x v="1"/>
    <x v="1"/>
    <x v="55"/>
    <x v="1"/>
    <n v="1"/>
    <n v="2"/>
    <s v="Life Sciences"/>
    <x v="0"/>
    <n v="73"/>
    <x v="3"/>
    <x v="0"/>
    <n v="98"/>
    <n v="3"/>
    <n v="3"/>
    <s v="Research Director"/>
    <x v="0"/>
    <s v="Single"/>
    <x v="53"/>
    <n v="15146"/>
    <n v="1"/>
    <x v="0"/>
    <x v="0"/>
    <n v="12"/>
    <n v="3"/>
    <n v="3"/>
    <n v="80"/>
    <n v="0"/>
    <n v="15"/>
    <n v="1"/>
    <n v="3"/>
    <n v="15"/>
    <n v="14"/>
    <n v="8"/>
    <n v="12"/>
  </r>
  <r>
    <x v="10"/>
    <x v="1"/>
    <x v="1"/>
    <x v="56"/>
    <x v="0"/>
    <n v="18"/>
    <n v="5"/>
    <s v="Life Sciences"/>
    <x v="0"/>
    <n v="74"/>
    <x v="0"/>
    <x v="1"/>
    <n v="71"/>
    <n v="3"/>
    <n v="3"/>
    <s v="Sales Executive"/>
    <x v="3"/>
    <s v="Married"/>
    <x v="54"/>
    <n v="11031"/>
    <n v="1"/>
    <x v="0"/>
    <x v="1"/>
    <n v="22"/>
    <n v="4"/>
    <n v="4"/>
    <n v="80"/>
    <n v="1"/>
    <n v="9"/>
    <n v="3"/>
    <n v="2"/>
    <n v="9"/>
    <n v="8"/>
    <n v="1"/>
    <n v="8"/>
  </r>
  <r>
    <x v="10"/>
    <x v="1"/>
    <x v="0"/>
    <x v="57"/>
    <x v="1"/>
    <n v="23"/>
    <n v="4"/>
    <s v="Medical"/>
    <x v="0"/>
    <n v="75"/>
    <x v="1"/>
    <x v="0"/>
    <n v="30"/>
    <n v="3"/>
    <n v="1"/>
    <s v="Laboratory Technician"/>
    <x v="3"/>
    <s v="Married"/>
    <x v="55"/>
    <n v="16002"/>
    <n v="3"/>
    <x v="0"/>
    <x v="0"/>
    <n v="15"/>
    <n v="3"/>
    <n v="3"/>
    <n v="80"/>
    <n v="1"/>
    <n v="4"/>
    <n v="3"/>
    <n v="3"/>
    <n v="2"/>
    <n v="2"/>
    <n v="2"/>
    <n v="2"/>
  </r>
  <r>
    <x v="12"/>
    <x v="1"/>
    <x v="0"/>
    <x v="58"/>
    <x v="1"/>
    <n v="7"/>
    <n v="4"/>
    <s v="Life Sciences"/>
    <x v="0"/>
    <n v="76"/>
    <x v="2"/>
    <x v="1"/>
    <n v="48"/>
    <n v="3"/>
    <n v="2"/>
    <s v="Laboratory Technician"/>
    <x v="0"/>
    <s v="Divorced"/>
    <x v="56"/>
    <n v="9528"/>
    <n v="3"/>
    <x v="0"/>
    <x v="1"/>
    <n v="22"/>
    <n v="4"/>
    <n v="4"/>
    <n v="80"/>
    <n v="1"/>
    <n v="10"/>
    <n v="3"/>
    <n v="2"/>
    <n v="7"/>
    <n v="7"/>
    <n v="1"/>
    <n v="7"/>
  </r>
  <r>
    <x v="2"/>
    <x v="1"/>
    <x v="0"/>
    <x v="59"/>
    <x v="1"/>
    <n v="1"/>
    <n v="4"/>
    <s v="Life Sciences"/>
    <x v="0"/>
    <n v="77"/>
    <x v="3"/>
    <x v="1"/>
    <n v="51"/>
    <n v="2"/>
    <n v="2"/>
    <s v="Manufacturing Director"/>
    <x v="2"/>
    <s v="Divorced"/>
    <x v="0"/>
    <n v="2689"/>
    <n v="1"/>
    <x v="0"/>
    <x v="1"/>
    <n v="18"/>
    <n v="3"/>
    <n v="3"/>
    <n v="80"/>
    <n v="1"/>
    <n v="7"/>
    <n v="2"/>
    <n v="4"/>
    <n v="7"/>
    <n v="5"/>
    <n v="0"/>
    <n v="7"/>
  </r>
  <r>
    <x v="5"/>
    <x v="1"/>
    <x v="0"/>
    <x v="60"/>
    <x v="1"/>
    <n v="1"/>
    <n v="3"/>
    <s v="Medical"/>
    <x v="0"/>
    <n v="78"/>
    <x v="3"/>
    <x v="1"/>
    <n v="33"/>
    <n v="3"/>
    <n v="2"/>
    <s v="Manufacturing Director"/>
    <x v="0"/>
    <s v="Married"/>
    <x v="57"/>
    <n v="10877"/>
    <n v="1"/>
    <x v="0"/>
    <x v="0"/>
    <n v="22"/>
    <n v="4"/>
    <n v="2"/>
    <n v="80"/>
    <n v="1"/>
    <n v="9"/>
    <n v="3"/>
    <n v="3"/>
    <n v="9"/>
    <n v="8"/>
    <n v="7"/>
    <n v="8"/>
  </r>
  <r>
    <x v="8"/>
    <x v="1"/>
    <x v="1"/>
    <x v="61"/>
    <x v="1"/>
    <n v="29"/>
    <n v="5"/>
    <s v="Life Sciences"/>
    <x v="0"/>
    <n v="79"/>
    <x v="2"/>
    <x v="0"/>
    <n v="50"/>
    <n v="3"/>
    <n v="2"/>
    <s v="Laboratory Technician"/>
    <x v="0"/>
    <s v="Single"/>
    <x v="58"/>
    <n v="5456"/>
    <n v="1"/>
    <x v="0"/>
    <x v="1"/>
    <n v="11"/>
    <n v="3"/>
    <n v="4"/>
    <n v="80"/>
    <n v="0"/>
    <n v="10"/>
    <n v="2"/>
    <n v="3"/>
    <n v="10"/>
    <n v="3"/>
    <n v="9"/>
    <n v="9"/>
  </r>
  <r>
    <x v="24"/>
    <x v="1"/>
    <x v="0"/>
    <x v="62"/>
    <x v="1"/>
    <n v="7"/>
    <n v="2"/>
    <s v="Medical"/>
    <x v="0"/>
    <n v="80"/>
    <x v="0"/>
    <x v="0"/>
    <n v="43"/>
    <n v="2"/>
    <n v="5"/>
    <s v="Research Director"/>
    <x v="2"/>
    <s v="Divorced"/>
    <x v="59"/>
    <n v="16701"/>
    <n v="5"/>
    <x v="0"/>
    <x v="0"/>
    <n v="12"/>
    <n v="3"/>
    <n v="4"/>
    <n v="80"/>
    <n v="1"/>
    <n v="29"/>
    <n v="2"/>
    <n v="2"/>
    <n v="27"/>
    <n v="3"/>
    <n v="13"/>
    <n v="8"/>
  </r>
  <r>
    <x v="6"/>
    <x v="1"/>
    <x v="0"/>
    <x v="63"/>
    <x v="0"/>
    <n v="25"/>
    <n v="3"/>
    <s v="Life Sciences"/>
    <x v="0"/>
    <n v="81"/>
    <x v="3"/>
    <x v="0"/>
    <n v="99"/>
    <n v="3"/>
    <n v="3"/>
    <s v="Sales Executive"/>
    <x v="3"/>
    <s v="Single"/>
    <x v="60"/>
    <n v="2354"/>
    <n v="7"/>
    <x v="0"/>
    <x v="1"/>
    <n v="11"/>
    <n v="3"/>
    <n v="4"/>
    <n v="80"/>
    <n v="0"/>
    <n v="28"/>
    <n v="3"/>
    <n v="2"/>
    <n v="21"/>
    <n v="16"/>
    <n v="7"/>
    <n v="9"/>
  </r>
  <r>
    <x v="9"/>
    <x v="1"/>
    <x v="0"/>
    <x v="64"/>
    <x v="1"/>
    <n v="8"/>
    <n v="3"/>
    <s v="Technical Degree"/>
    <x v="0"/>
    <n v="83"/>
    <x v="1"/>
    <x v="0"/>
    <n v="59"/>
    <n v="3"/>
    <n v="3"/>
    <s v="Healthcare Representative"/>
    <x v="2"/>
    <s v="Divorced"/>
    <x v="61"/>
    <n v="8202"/>
    <n v="1"/>
    <x v="0"/>
    <x v="1"/>
    <n v="13"/>
    <n v="3"/>
    <n v="2"/>
    <n v="80"/>
    <n v="3"/>
    <n v="17"/>
    <n v="2"/>
    <n v="3"/>
    <n v="17"/>
    <n v="14"/>
    <n v="12"/>
    <n v="8"/>
  </r>
  <r>
    <x v="27"/>
    <x v="1"/>
    <x v="0"/>
    <x v="65"/>
    <x v="1"/>
    <n v="8"/>
    <n v="3"/>
    <s v="Medical"/>
    <x v="0"/>
    <n v="84"/>
    <x v="2"/>
    <x v="0"/>
    <n v="33"/>
    <n v="3"/>
    <n v="4"/>
    <s v="Manager"/>
    <x v="2"/>
    <s v="Divorced"/>
    <x v="62"/>
    <n v="19730"/>
    <n v="2"/>
    <x v="0"/>
    <x v="0"/>
    <n v="14"/>
    <n v="3"/>
    <n v="3"/>
    <n v="80"/>
    <n v="3"/>
    <n v="21"/>
    <n v="2"/>
    <n v="3"/>
    <n v="5"/>
    <n v="0"/>
    <n v="0"/>
    <n v="2"/>
  </r>
  <r>
    <x v="9"/>
    <x v="1"/>
    <x v="1"/>
    <x v="66"/>
    <x v="1"/>
    <n v="11"/>
    <n v="3"/>
    <s v="Life Sciences"/>
    <x v="0"/>
    <n v="85"/>
    <x v="0"/>
    <x v="1"/>
    <n v="95"/>
    <n v="2"/>
    <n v="2"/>
    <s v="Manufacturing Director"/>
    <x v="1"/>
    <s v="Single"/>
    <x v="63"/>
    <n v="22656"/>
    <n v="1"/>
    <x v="0"/>
    <x v="1"/>
    <n v="13"/>
    <n v="3"/>
    <n v="3"/>
    <n v="80"/>
    <n v="0"/>
    <n v="6"/>
    <n v="3"/>
    <n v="3"/>
    <n v="6"/>
    <n v="5"/>
    <n v="0"/>
    <n v="3"/>
  </r>
  <r>
    <x v="28"/>
    <x v="1"/>
    <x v="0"/>
    <x v="67"/>
    <x v="1"/>
    <n v="7"/>
    <n v="3"/>
    <s v="Life Sciences"/>
    <x v="0"/>
    <n v="86"/>
    <x v="0"/>
    <x v="1"/>
    <n v="59"/>
    <n v="3"/>
    <n v="3"/>
    <s v="Research Scientist"/>
    <x v="3"/>
    <s v="Divorced"/>
    <x v="64"/>
    <n v="18787"/>
    <n v="2"/>
    <x v="0"/>
    <x v="1"/>
    <n v="17"/>
    <n v="3"/>
    <n v="3"/>
    <n v="80"/>
    <n v="1"/>
    <n v="25"/>
    <n v="2"/>
    <n v="3"/>
    <n v="1"/>
    <n v="0"/>
    <n v="0"/>
    <n v="0"/>
  </r>
  <r>
    <x v="10"/>
    <x v="1"/>
    <x v="1"/>
    <x v="68"/>
    <x v="1"/>
    <n v="1"/>
    <n v="3"/>
    <s v="Medical"/>
    <x v="0"/>
    <n v="88"/>
    <x v="0"/>
    <x v="1"/>
    <n v="79"/>
    <n v="3"/>
    <n v="1"/>
    <s v="Research Scientist"/>
    <x v="3"/>
    <s v="Married"/>
    <x v="65"/>
    <n v="5868"/>
    <n v="4"/>
    <x v="0"/>
    <x v="1"/>
    <n v="13"/>
    <n v="3"/>
    <n v="4"/>
    <n v="80"/>
    <n v="1"/>
    <n v="5"/>
    <n v="2"/>
    <n v="2"/>
    <n v="3"/>
    <n v="2"/>
    <n v="1"/>
    <n v="2"/>
  </r>
  <r>
    <x v="9"/>
    <x v="0"/>
    <x v="0"/>
    <x v="69"/>
    <x v="1"/>
    <n v="9"/>
    <n v="3"/>
    <s v="Medical"/>
    <x v="0"/>
    <n v="90"/>
    <x v="2"/>
    <x v="1"/>
    <n v="79"/>
    <n v="2"/>
    <n v="1"/>
    <s v="Research Scientist"/>
    <x v="2"/>
    <s v="Married"/>
    <x v="66"/>
    <n v="21777"/>
    <n v="0"/>
    <x v="0"/>
    <x v="0"/>
    <n v="17"/>
    <n v="3"/>
    <n v="1"/>
    <n v="80"/>
    <n v="1"/>
    <n v="2"/>
    <n v="0"/>
    <n v="2"/>
    <n v="1"/>
    <n v="0"/>
    <n v="0"/>
    <n v="0"/>
  </r>
  <r>
    <x v="6"/>
    <x v="1"/>
    <x v="1"/>
    <x v="70"/>
    <x v="0"/>
    <n v="1"/>
    <n v="1"/>
    <s v="Life Sciences"/>
    <x v="0"/>
    <n v="91"/>
    <x v="3"/>
    <x v="0"/>
    <n v="57"/>
    <n v="2"/>
    <n v="2"/>
    <s v="Sales Executive"/>
    <x v="2"/>
    <s v="Single"/>
    <x v="67"/>
    <n v="24668"/>
    <n v="7"/>
    <x v="0"/>
    <x v="1"/>
    <n v="11"/>
    <n v="3"/>
    <n v="4"/>
    <n v="80"/>
    <n v="0"/>
    <n v="20"/>
    <n v="2"/>
    <n v="2"/>
    <n v="4"/>
    <n v="3"/>
    <n v="1"/>
    <n v="3"/>
  </r>
  <r>
    <x v="11"/>
    <x v="1"/>
    <x v="0"/>
    <x v="71"/>
    <x v="1"/>
    <n v="2"/>
    <n v="3"/>
    <s v="Life Sciences"/>
    <x v="0"/>
    <n v="94"/>
    <x v="1"/>
    <x v="1"/>
    <n v="76"/>
    <n v="3"/>
    <n v="1"/>
    <s v="Research Scientist"/>
    <x v="1"/>
    <s v="Married"/>
    <x v="68"/>
    <n v="4956"/>
    <n v="0"/>
    <x v="0"/>
    <x v="1"/>
    <n v="23"/>
    <n v="4"/>
    <n v="4"/>
    <n v="80"/>
    <n v="1"/>
    <n v="6"/>
    <n v="3"/>
    <n v="3"/>
    <n v="5"/>
    <n v="4"/>
    <n v="0"/>
    <n v="4"/>
  </r>
  <r>
    <x v="12"/>
    <x v="1"/>
    <x v="0"/>
    <x v="72"/>
    <x v="1"/>
    <n v="1"/>
    <n v="4"/>
    <s v="Medical"/>
    <x v="0"/>
    <n v="95"/>
    <x v="1"/>
    <x v="1"/>
    <n v="87"/>
    <n v="3"/>
    <n v="1"/>
    <s v="Research Scientist"/>
    <x v="1"/>
    <s v="Single"/>
    <x v="69"/>
    <n v="18775"/>
    <n v="1"/>
    <x v="0"/>
    <x v="1"/>
    <n v="17"/>
    <n v="3"/>
    <n v="2"/>
    <n v="80"/>
    <n v="0"/>
    <n v="1"/>
    <n v="4"/>
    <n v="3"/>
    <n v="1"/>
    <n v="1"/>
    <n v="1"/>
    <n v="0"/>
  </r>
  <r>
    <x v="5"/>
    <x v="1"/>
    <x v="0"/>
    <x v="73"/>
    <x v="1"/>
    <n v="1"/>
    <n v="3"/>
    <s v="Life Sciences"/>
    <x v="0"/>
    <n v="96"/>
    <x v="0"/>
    <x v="1"/>
    <n v="66"/>
    <n v="3"/>
    <n v="2"/>
    <s v="Research Scientist"/>
    <x v="1"/>
    <s v="Married"/>
    <x v="70"/>
    <n v="7346"/>
    <n v="1"/>
    <x v="0"/>
    <x v="1"/>
    <n v="17"/>
    <n v="3"/>
    <n v="2"/>
    <n v="80"/>
    <n v="2"/>
    <n v="10"/>
    <n v="3"/>
    <n v="3"/>
    <n v="10"/>
    <n v="4"/>
    <n v="0"/>
    <n v="9"/>
  </r>
  <r>
    <x v="9"/>
    <x v="1"/>
    <x v="0"/>
    <x v="74"/>
    <x v="1"/>
    <n v="6"/>
    <n v="3"/>
    <s v="Life Sciences"/>
    <x v="0"/>
    <n v="97"/>
    <x v="0"/>
    <x v="0"/>
    <n v="55"/>
    <n v="4"/>
    <n v="1"/>
    <s v="Laboratory Technician"/>
    <x v="0"/>
    <s v="Married"/>
    <x v="71"/>
    <n v="22002"/>
    <n v="3"/>
    <x v="0"/>
    <x v="1"/>
    <n v="12"/>
    <n v="3"/>
    <n v="2"/>
    <n v="80"/>
    <n v="0"/>
    <n v="5"/>
    <n v="3"/>
    <n v="3"/>
    <n v="1"/>
    <n v="0"/>
    <n v="0"/>
    <n v="0"/>
  </r>
  <r>
    <x v="12"/>
    <x v="1"/>
    <x v="0"/>
    <x v="75"/>
    <x v="1"/>
    <n v="8"/>
    <n v="4"/>
    <s v="Life Sciences"/>
    <x v="0"/>
    <n v="98"/>
    <x v="1"/>
    <x v="0"/>
    <n v="61"/>
    <n v="3"/>
    <n v="2"/>
    <s v="Manufacturing Director"/>
    <x v="0"/>
    <s v="Single"/>
    <x v="72"/>
    <n v="20682"/>
    <n v="1"/>
    <x v="0"/>
    <x v="1"/>
    <n v="23"/>
    <n v="4"/>
    <n v="4"/>
    <n v="80"/>
    <n v="0"/>
    <n v="11"/>
    <n v="2"/>
    <n v="3"/>
    <n v="11"/>
    <n v="7"/>
    <n v="1"/>
    <n v="8"/>
  </r>
  <r>
    <x v="10"/>
    <x v="1"/>
    <x v="0"/>
    <x v="76"/>
    <x v="0"/>
    <n v="1"/>
    <n v="4"/>
    <s v="Marketing"/>
    <x v="0"/>
    <n v="100"/>
    <x v="1"/>
    <x v="1"/>
    <n v="32"/>
    <n v="2"/>
    <n v="2"/>
    <s v="Sales Executive"/>
    <x v="3"/>
    <s v="Single"/>
    <x v="73"/>
    <n v="23016"/>
    <n v="0"/>
    <x v="0"/>
    <x v="1"/>
    <n v="14"/>
    <n v="3"/>
    <n v="2"/>
    <n v="80"/>
    <n v="0"/>
    <n v="16"/>
    <n v="2"/>
    <n v="3"/>
    <n v="15"/>
    <n v="13"/>
    <n v="2"/>
    <n v="8"/>
  </r>
  <r>
    <x v="28"/>
    <x v="1"/>
    <x v="0"/>
    <x v="77"/>
    <x v="1"/>
    <n v="6"/>
    <n v="4"/>
    <s v="Other"/>
    <x v="0"/>
    <n v="101"/>
    <x v="2"/>
    <x v="1"/>
    <n v="52"/>
    <n v="3"/>
    <n v="3"/>
    <s v="Research Director"/>
    <x v="3"/>
    <s v="Married"/>
    <x v="74"/>
    <n v="15067"/>
    <n v="4"/>
    <x v="0"/>
    <x v="0"/>
    <n v="14"/>
    <n v="3"/>
    <n v="2"/>
    <n v="80"/>
    <n v="0"/>
    <n v="17"/>
    <n v="3"/>
    <n v="4"/>
    <n v="0"/>
    <n v="0"/>
    <n v="0"/>
    <n v="0"/>
  </r>
  <r>
    <x v="2"/>
    <x v="1"/>
    <x v="0"/>
    <x v="78"/>
    <x v="1"/>
    <n v="7"/>
    <n v="4"/>
    <s v="Medical"/>
    <x v="0"/>
    <n v="102"/>
    <x v="3"/>
    <x v="1"/>
    <n v="30"/>
    <n v="3"/>
    <n v="3"/>
    <s v="Research Director"/>
    <x v="2"/>
    <s v="Single"/>
    <x v="75"/>
    <n v="25258"/>
    <n v="4"/>
    <x v="0"/>
    <x v="1"/>
    <n v="13"/>
    <n v="3"/>
    <n v="1"/>
    <n v="80"/>
    <n v="0"/>
    <n v="16"/>
    <n v="3"/>
    <n v="4"/>
    <n v="5"/>
    <n v="2"/>
    <n v="0"/>
    <n v="2"/>
  </r>
  <r>
    <x v="21"/>
    <x v="1"/>
    <x v="0"/>
    <x v="79"/>
    <x v="2"/>
    <n v="5"/>
    <n v="2"/>
    <s v="Medical"/>
    <x v="0"/>
    <n v="103"/>
    <x v="0"/>
    <x v="1"/>
    <n v="80"/>
    <n v="3"/>
    <n v="2"/>
    <s v="Human Resources"/>
    <x v="1"/>
    <s v="Divorced"/>
    <x v="76"/>
    <n v="10425"/>
    <n v="8"/>
    <x v="0"/>
    <x v="0"/>
    <n v="22"/>
    <n v="4"/>
    <n v="4"/>
    <n v="80"/>
    <n v="1"/>
    <n v="16"/>
    <n v="2"/>
    <n v="3"/>
    <n v="4"/>
    <n v="2"/>
    <n v="0"/>
    <n v="2"/>
  </r>
  <r>
    <x v="7"/>
    <x v="1"/>
    <x v="0"/>
    <x v="38"/>
    <x v="1"/>
    <n v="1"/>
    <n v="1"/>
    <s v="Life Sciences"/>
    <x v="0"/>
    <n v="104"/>
    <x v="2"/>
    <x v="1"/>
    <n v="55"/>
    <n v="2"/>
    <n v="2"/>
    <s v="Laboratory Technician"/>
    <x v="0"/>
    <s v="Married"/>
    <x v="77"/>
    <n v="15998"/>
    <n v="1"/>
    <x v="0"/>
    <x v="0"/>
    <n v="12"/>
    <n v="3"/>
    <n v="3"/>
    <n v="80"/>
    <n v="2"/>
    <n v="10"/>
    <n v="1"/>
    <n v="2"/>
    <n v="10"/>
    <n v="8"/>
    <n v="3"/>
    <n v="0"/>
  </r>
  <r>
    <x v="10"/>
    <x v="1"/>
    <x v="0"/>
    <x v="80"/>
    <x v="1"/>
    <n v="1"/>
    <n v="3"/>
    <s v="Medical"/>
    <x v="0"/>
    <n v="105"/>
    <x v="0"/>
    <x v="1"/>
    <n v="30"/>
    <n v="2"/>
    <n v="1"/>
    <s v="Research Scientist"/>
    <x v="2"/>
    <s v="Single"/>
    <x v="78"/>
    <n v="26278"/>
    <n v="1"/>
    <x v="0"/>
    <x v="1"/>
    <n v="18"/>
    <n v="3"/>
    <n v="1"/>
    <n v="80"/>
    <n v="0"/>
    <n v="6"/>
    <n v="3"/>
    <n v="3"/>
    <n v="6"/>
    <n v="4"/>
    <n v="0"/>
    <n v="4"/>
  </r>
  <r>
    <x v="27"/>
    <x v="1"/>
    <x v="0"/>
    <x v="81"/>
    <x v="0"/>
    <n v="1"/>
    <n v="2"/>
    <s v="Life Sciences"/>
    <x v="0"/>
    <n v="106"/>
    <x v="3"/>
    <x v="1"/>
    <n v="70"/>
    <n v="3"/>
    <n v="3"/>
    <s v="Sales Executive"/>
    <x v="0"/>
    <s v="Married"/>
    <x v="79"/>
    <n v="18092"/>
    <n v="3"/>
    <x v="0"/>
    <x v="1"/>
    <n v="14"/>
    <n v="3"/>
    <n v="4"/>
    <n v="80"/>
    <n v="1"/>
    <n v="24"/>
    <n v="4"/>
    <n v="3"/>
    <n v="1"/>
    <n v="0"/>
    <n v="1"/>
    <n v="0"/>
  </r>
  <r>
    <x v="8"/>
    <x v="1"/>
    <x v="2"/>
    <x v="82"/>
    <x v="1"/>
    <n v="6"/>
    <n v="3"/>
    <s v="Medical"/>
    <x v="0"/>
    <n v="107"/>
    <x v="0"/>
    <x v="0"/>
    <n v="79"/>
    <n v="1"/>
    <n v="2"/>
    <s v="Research Scientist"/>
    <x v="0"/>
    <s v="Divorced"/>
    <x v="80"/>
    <n v="15717"/>
    <n v="7"/>
    <x v="0"/>
    <x v="0"/>
    <n v="12"/>
    <n v="3"/>
    <n v="4"/>
    <n v="80"/>
    <n v="3"/>
    <n v="17"/>
    <n v="3"/>
    <n v="3"/>
    <n v="13"/>
    <n v="11"/>
    <n v="1"/>
    <n v="9"/>
  </r>
  <r>
    <x v="13"/>
    <x v="1"/>
    <x v="0"/>
    <x v="83"/>
    <x v="1"/>
    <n v="1"/>
    <n v="2"/>
    <s v="Medical"/>
    <x v="0"/>
    <n v="110"/>
    <x v="3"/>
    <x v="1"/>
    <n v="94"/>
    <n v="3"/>
    <n v="2"/>
    <s v="Manufacturing Director"/>
    <x v="1"/>
    <s v="Married"/>
    <x v="81"/>
    <n v="17736"/>
    <n v="1"/>
    <x v="0"/>
    <x v="1"/>
    <n v="15"/>
    <n v="3"/>
    <n v="3"/>
    <n v="80"/>
    <n v="0"/>
    <n v="5"/>
    <n v="2"/>
    <n v="3"/>
    <n v="5"/>
    <n v="2"/>
    <n v="1"/>
    <n v="3"/>
  </r>
  <r>
    <x v="29"/>
    <x v="1"/>
    <x v="0"/>
    <x v="84"/>
    <x v="1"/>
    <n v="7"/>
    <n v="3"/>
    <s v="Life Sciences"/>
    <x v="0"/>
    <n v="112"/>
    <x v="2"/>
    <x v="1"/>
    <n v="49"/>
    <n v="1"/>
    <n v="3"/>
    <s v="Manufacturing Director"/>
    <x v="0"/>
    <s v="Single"/>
    <x v="82"/>
    <n v="21698"/>
    <n v="4"/>
    <x v="0"/>
    <x v="1"/>
    <n v="11"/>
    <n v="3"/>
    <n v="1"/>
    <n v="80"/>
    <n v="0"/>
    <n v="37"/>
    <n v="3"/>
    <n v="2"/>
    <n v="6"/>
    <n v="4"/>
    <n v="0"/>
    <n v="2"/>
  </r>
  <r>
    <x v="30"/>
    <x v="1"/>
    <x v="0"/>
    <x v="85"/>
    <x v="0"/>
    <n v="2"/>
    <n v="1"/>
    <s v="Technical Degree"/>
    <x v="0"/>
    <n v="113"/>
    <x v="1"/>
    <x v="1"/>
    <n v="62"/>
    <n v="3"/>
    <n v="1"/>
    <s v="Sales Representative"/>
    <x v="3"/>
    <s v="Divorced"/>
    <x v="83"/>
    <n v="9518"/>
    <n v="3"/>
    <x v="0"/>
    <x v="1"/>
    <n v="13"/>
    <n v="3"/>
    <n v="3"/>
    <n v="80"/>
    <n v="1"/>
    <n v="3"/>
    <n v="3"/>
    <n v="3"/>
    <n v="0"/>
    <n v="0"/>
    <n v="0"/>
    <n v="0"/>
  </r>
  <r>
    <x v="31"/>
    <x v="1"/>
    <x v="0"/>
    <x v="86"/>
    <x v="1"/>
    <n v="9"/>
    <n v="4"/>
    <s v="Life Sciences"/>
    <x v="0"/>
    <n v="116"/>
    <x v="2"/>
    <x v="1"/>
    <n v="96"/>
    <n v="3"/>
    <n v="1"/>
    <s v="Laboratory Technician"/>
    <x v="0"/>
    <s v="Married"/>
    <x v="84"/>
    <n v="18725"/>
    <n v="3"/>
    <x v="0"/>
    <x v="1"/>
    <n v="23"/>
    <n v="4"/>
    <n v="2"/>
    <n v="80"/>
    <n v="2"/>
    <n v="10"/>
    <n v="4"/>
    <n v="3"/>
    <n v="4"/>
    <n v="2"/>
    <n v="0"/>
    <n v="3"/>
  </r>
  <r>
    <x v="7"/>
    <x v="1"/>
    <x v="0"/>
    <x v="87"/>
    <x v="1"/>
    <n v="2"/>
    <n v="3"/>
    <s v="Life Sciences"/>
    <x v="0"/>
    <n v="117"/>
    <x v="1"/>
    <x v="1"/>
    <n v="99"/>
    <n v="2"/>
    <n v="2"/>
    <s v="Healthcare Representative"/>
    <x v="0"/>
    <s v="Married"/>
    <x v="85"/>
    <n v="15830"/>
    <n v="1"/>
    <x v="0"/>
    <x v="1"/>
    <n v="19"/>
    <n v="3"/>
    <n v="1"/>
    <n v="80"/>
    <n v="3"/>
    <n v="11"/>
    <n v="3"/>
    <n v="3"/>
    <n v="11"/>
    <n v="10"/>
    <n v="10"/>
    <n v="8"/>
  </r>
  <r>
    <x v="21"/>
    <x v="0"/>
    <x v="0"/>
    <x v="88"/>
    <x v="0"/>
    <n v="9"/>
    <n v="2"/>
    <s v="Medical"/>
    <x v="0"/>
    <n v="118"/>
    <x v="1"/>
    <x v="1"/>
    <n v="64"/>
    <n v="2"/>
    <n v="3"/>
    <s v="Sales Executive"/>
    <x v="0"/>
    <s v="Single"/>
    <x v="86"/>
    <n v="13596"/>
    <n v="1"/>
    <x v="0"/>
    <x v="1"/>
    <n v="16"/>
    <n v="3"/>
    <n v="4"/>
    <n v="80"/>
    <n v="0"/>
    <n v="9"/>
    <n v="3"/>
    <n v="3"/>
    <n v="9"/>
    <n v="8"/>
    <n v="4"/>
    <n v="7"/>
  </r>
  <r>
    <x v="32"/>
    <x v="1"/>
    <x v="1"/>
    <x v="89"/>
    <x v="1"/>
    <n v="1"/>
    <n v="4"/>
    <s v="Life Sciences"/>
    <x v="0"/>
    <n v="119"/>
    <x v="1"/>
    <x v="1"/>
    <n v="78"/>
    <n v="2"/>
    <n v="4"/>
    <s v="Healthcare Representative"/>
    <x v="1"/>
    <s v="Married"/>
    <x v="87"/>
    <n v="14115"/>
    <n v="1"/>
    <x v="0"/>
    <x v="1"/>
    <n v="22"/>
    <n v="4"/>
    <n v="4"/>
    <n v="80"/>
    <n v="1"/>
    <n v="22"/>
    <n v="3"/>
    <n v="2"/>
    <n v="22"/>
    <n v="3"/>
    <n v="11"/>
    <n v="11"/>
  </r>
  <r>
    <x v="31"/>
    <x v="1"/>
    <x v="0"/>
    <x v="90"/>
    <x v="0"/>
    <n v="21"/>
    <n v="4"/>
    <s v="Marketing"/>
    <x v="0"/>
    <n v="120"/>
    <x v="1"/>
    <x v="1"/>
    <n v="71"/>
    <n v="3"/>
    <n v="2"/>
    <s v="Sales Executive"/>
    <x v="0"/>
    <s v="Single"/>
    <x v="88"/>
    <n v="8423"/>
    <n v="0"/>
    <x v="0"/>
    <x v="0"/>
    <n v="22"/>
    <n v="4"/>
    <n v="4"/>
    <n v="80"/>
    <n v="0"/>
    <n v="11"/>
    <n v="2"/>
    <n v="1"/>
    <n v="10"/>
    <n v="7"/>
    <n v="1"/>
    <n v="0"/>
  </r>
  <r>
    <x v="7"/>
    <x v="1"/>
    <x v="0"/>
    <x v="91"/>
    <x v="0"/>
    <n v="4"/>
    <n v="2"/>
    <s v="Medical"/>
    <x v="0"/>
    <n v="121"/>
    <x v="1"/>
    <x v="0"/>
    <n v="63"/>
    <n v="2"/>
    <n v="2"/>
    <s v="Sales Executive"/>
    <x v="1"/>
    <s v="Divorced"/>
    <x v="89"/>
    <n v="19760"/>
    <n v="1"/>
    <x v="0"/>
    <x v="0"/>
    <n v="12"/>
    <n v="3"/>
    <n v="2"/>
    <n v="80"/>
    <n v="3"/>
    <n v="11"/>
    <n v="4"/>
    <n v="2"/>
    <n v="11"/>
    <n v="8"/>
    <n v="2"/>
    <n v="7"/>
  </r>
  <r>
    <x v="21"/>
    <x v="1"/>
    <x v="1"/>
    <x v="92"/>
    <x v="1"/>
    <n v="1"/>
    <n v="3"/>
    <s v="Medical"/>
    <x v="0"/>
    <n v="124"/>
    <x v="1"/>
    <x v="1"/>
    <n v="40"/>
    <n v="2"/>
    <n v="3"/>
    <s v="Healthcare Representative"/>
    <x v="3"/>
    <s v="Married"/>
    <x v="90"/>
    <n v="3142"/>
    <n v="2"/>
    <x v="0"/>
    <x v="0"/>
    <n v="13"/>
    <n v="3"/>
    <n v="3"/>
    <n v="80"/>
    <n v="1"/>
    <n v="21"/>
    <n v="5"/>
    <n v="2"/>
    <n v="10"/>
    <n v="9"/>
    <n v="9"/>
    <n v="5"/>
  </r>
  <r>
    <x v="5"/>
    <x v="1"/>
    <x v="0"/>
    <x v="93"/>
    <x v="0"/>
    <n v="6"/>
    <n v="4"/>
    <s v="Medical"/>
    <x v="0"/>
    <n v="125"/>
    <x v="0"/>
    <x v="1"/>
    <n v="87"/>
    <n v="3"/>
    <n v="2"/>
    <s v="Sales Executive"/>
    <x v="2"/>
    <s v="Single"/>
    <x v="91"/>
    <n v="24301"/>
    <n v="1"/>
    <x v="0"/>
    <x v="1"/>
    <n v="16"/>
    <n v="3"/>
    <n v="1"/>
    <n v="80"/>
    <n v="0"/>
    <n v="12"/>
    <n v="0"/>
    <n v="3"/>
    <n v="11"/>
    <n v="8"/>
    <n v="5"/>
    <n v="7"/>
  </r>
  <r>
    <x v="33"/>
    <x v="1"/>
    <x v="0"/>
    <x v="94"/>
    <x v="1"/>
    <n v="2"/>
    <n v="4"/>
    <s v="Technical Degree"/>
    <x v="0"/>
    <n v="126"/>
    <x v="3"/>
    <x v="0"/>
    <n v="60"/>
    <n v="3"/>
    <n v="3"/>
    <s v="Research Director"/>
    <x v="2"/>
    <s v="Married"/>
    <x v="92"/>
    <n v="24001"/>
    <n v="9"/>
    <x v="0"/>
    <x v="1"/>
    <n v="12"/>
    <n v="3"/>
    <n v="1"/>
    <n v="80"/>
    <n v="1"/>
    <n v="16"/>
    <n v="5"/>
    <n v="1"/>
    <n v="4"/>
    <n v="3"/>
    <n v="0"/>
    <n v="3"/>
  </r>
  <r>
    <x v="17"/>
    <x v="1"/>
    <x v="0"/>
    <x v="95"/>
    <x v="0"/>
    <n v="3"/>
    <n v="2"/>
    <s v="Other"/>
    <x v="0"/>
    <n v="128"/>
    <x v="3"/>
    <x v="0"/>
    <n v="33"/>
    <n v="3"/>
    <n v="2"/>
    <s v="Sales Executive"/>
    <x v="2"/>
    <s v="Married"/>
    <x v="93"/>
    <n v="17519"/>
    <n v="0"/>
    <x v="0"/>
    <x v="1"/>
    <n v="21"/>
    <n v="4"/>
    <n v="1"/>
    <n v="80"/>
    <n v="1"/>
    <n v="4"/>
    <n v="2"/>
    <n v="2"/>
    <n v="3"/>
    <n v="2"/>
    <n v="0"/>
    <n v="2"/>
  </r>
  <r>
    <x v="14"/>
    <x v="1"/>
    <x v="2"/>
    <x v="96"/>
    <x v="0"/>
    <n v="4"/>
    <n v="3"/>
    <s v="Medical"/>
    <x v="0"/>
    <n v="129"/>
    <x v="0"/>
    <x v="1"/>
    <n v="43"/>
    <n v="3"/>
    <n v="2"/>
    <s v="Sales Executive"/>
    <x v="2"/>
    <s v="Married"/>
    <x v="94"/>
    <n v="8863"/>
    <n v="1"/>
    <x v="0"/>
    <x v="1"/>
    <n v="15"/>
    <n v="3"/>
    <n v="2"/>
    <n v="80"/>
    <n v="0"/>
    <n v="5"/>
    <n v="3"/>
    <n v="4"/>
    <n v="5"/>
    <n v="4"/>
    <n v="0"/>
    <n v="4"/>
  </r>
  <r>
    <x v="34"/>
    <x v="1"/>
    <x v="0"/>
    <x v="97"/>
    <x v="0"/>
    <n v="10"/>
    <n v="4"/>
    <s v="Medical"/>
    <x v="0"/>
    <n v="131"/>
    <x v="2"/>
    <x v="1"/>
    <n v="37"/>
    <n v="3"/>
    <n v="4"/>
    <s v="Sales Executive"/>
    <x v="2"/>
    <s v="Single"/>
    <x v="95"/>
    <n v="24409"/>
    <n v="0"/>
    <x v="0"/>
    <x v="1"/>
    <n v="13"/>
    <n v="3"/>
    <n v="3"/>
    <n v="80"/>
    <n v="0"/>
    <n v="38"/>
    <n v="1"/>
    <n v="2"/>
    <n v="37"/>
    <n v="10"/>
    <n v="1"/>
    <n v="8"/>
  </r>
  <r>
    <x v="20"/>
    <x v="1"/>
    <x v="2"/>
    <x v="98"/>
    <x v="1"/>
    <n v="23"/>
    <n v="3"/>
    <s v="Medical"/>
    <x v="0"/>
    <n v="132"/>
    <x v="0"/>
    <x v="1"/>
    <n v="67"/>
    <n v="3"/>
    <n v="2"/>
    <s v="Laboratory Technician"/>
    <x v="1"/>
    <s v="Married"/>
    <x v="96"/>
    <n v="25043"/>
    <n v="4"/>
    <x v="0"/>
    <x v="1"/>
    <n v="12"/>
    <n v="3"/>
    <n v="3"/>
    <n v="80"/>
    <n v="1"/>
    <n v="17"/>
    <n v="3"/>
    <n v="4"/>
    <n v="3"/>
    <n v="2"/>
    <n v="1"/>
    <n v="2"/>
  </r>
  <r>
    <x v="2"/>
    <x v="0"/>
    <x v="0"/>
    <x v="99"/>
    <x v="2"/>
    <n v="6"/>
    <n v="4"/>
    <s v="Human Resources"/>
    <x v="0"/>
    <n v="133"/>
    <x v="1"/>
    <x v="1"/>
    <n v="63"/>
    <n v="3"/>
    <n v="1"/>
    <s v="Human Resources"/>
    <x v="3"/>
    <s v="Divorced"/>
    <x v="97"/>
    <n v="23648"/>
    <n v="4"/>
    <x v="0"/>
    <x v="0"/>
    <n v="22"/>
    <n v="4"/>
    <n v="4"/>
    <n v="80"/>
    <n v="0"/>
    <n v="7"/>
    <n v="3"/>
    <n v="3"/>
    <n v="3"/>
    <n v="2"/>
    <n v="0"/>
    <n v="2"/>
  </r>
  <r>
    <x v="5"/>
    <x v="1"/>
    <x v="0"/>
    <x v="100"/>
    <x v="1"/>
    <n v="1"/>
    <n v="1"/>
    <s v="Life Sciences"/>
    <x v="0"/>
    <n v="134"/>
    <x v="2"/>
    <x v="1"/>
    <n v="71"/>
    <n v="3"/>
    <n v="1"/>
    <s v="Research Scientist"/>
    <x v="3"/>
    <s v="Single"/>
    <x v="98"/>
    <n v="15178"/>
    <n v="1"/>
    <x v="0"/>
    <x v="1"/>
    <n v="13"/>
    <n v="3"/>
    <n v="4"/>
    <n v="80"/>
    <n v="0"/>
    <n v="1"/>
    <n v="2"/>
    <n v="3"/>
    <n v="1"/>
    <n v="0"/>
    <n v="0"/>
    <n v="0"/>
  </r>
  <r>
    <x v="35"/>
    <x v="0"/>
    <x v="1"/>
    <x v="101"/>
    <x v="1"/>
    <n v="6"/>
    <n v="3"/>
    <s v="Life Sciences"/>
    <x v="0"/>
    <n v="137"/>
    <x v="2"/>
    <x v="0"/>
    <n v="66"/>
    <n v="2"/>
    <n v="1"/>
    <s v="Laboratory Technician"/>
    <x v="0"/>
    <s v="Single"/>
    <x v="99"/>
    <n v="19783"/>
    <n v="1"/>
    <x v="0"/>
    <x v="0"/>
    <n v="18"/>
    <n v="3"/>
    <n v="2"/>
    <n v="80"/>
    <n v="0"/>
    <n v="1"/>
    <n v="5"/>
    <n v="3"/>
    <n v="1"/>
    <n v="0"/>
    <n v="1"/>
    <n v="0"/>
  </r>
  <r>
    <x v="13"/>
    <x v="1"/>
    <x v="0"/>
    <x v="102"/>
    <x v="1"/>
    <n v="6"/>
    <n v="4"/>
    <s v="Other"/>
    <x v="0"/>
    <n v="138"/>
    <x v="3"/>
    <x v="0"/>
    <n v="41"/>
    <n v="3"/>
    <n v="2"/>
    <s v="Research Scientist"/>
    <x v="2"/>
    <s v="Single"/>
    <x v="100"/>
    <n v="12482"/>
    <n v="1"/>
    <x v="0"/>
    <x v="1"/>
    <n v="14"/>
    <n v="3"/>
    <n v="3"/>
    <n v="80"/>
    <n v="0"/>
    <n v="16"/>
    <n v="3"/>
    <n v="3"/>
    <n v="16"/>
    <n v="13"/>
    <n v="2"/>
    <n v="10"/>
  </r>
  <r>
    <x v="2"/>
    <x v="1"/>
    <x v="2"/>
    <x v="103"/>
    <x v="1"/>
    <n v="2"/>
    <n v="2"/>
    <s v="Life Sciences"/>
    <x v="0"/>
    <n v="139"/>
    <x v="1"/>
    <x v="1"/>
    <n v="100"/>
    <n v="2"/>
    <n v="2"/>
    <s v="Healthcare Representative"/>
    <x v="0"/>
    <s v="Divorced"/>
    <x v="101"/>
    <n v="15850"/>
    <n v="5"/>
    <x v="0"/>
    <x v="1"/>
    <n v="14"/>
    <n v="3"/>
    <n v="4"/>
    <n v="80"/>
    <n v="1"/>
    <n v="17"/>
    <n v="2"/>
    <n v="4"/>
    <n v="1"/>
    <n v="0"/>
    <n v="0"/>
    <n v="0"/>
  </r>
  <r>
    <x v="6"/>
    <x v="1"/>
    <x v="2"/>
    <x v="104"/>
    <x v="2"/>
    <n v="2"/>
    <n v="4"/>
    <s v="Human Resources"/>
    <x v="0"/>
    <n v="140"/>
    <x v="1"/>
    <x v="0"/>
    <n v="32"/>
    <n v="2"/>
    <n v="5"/>
    <s v="Manager"/>
    <x v="0"/>
    <s v="Married"/>
    <x v="102"/>
    <n v="21922"/>
    <n v="9"/>
    <x v="0"/>
    <x v="1"/>
    <n v="21"/>
    <n v="4"/>
    <n v="4"/>
    <n v="80"/>
    <n v="1"/>
    <n v="30"/>
    <n v="3"/>
    <n v="3"/>
    <n v="3"/>
    <n v="2"/>
    <n v="2"/>
    <n v="2"/>
  </r>
  <r>
    <x v="24"/>
    <x v="1"/>
    <x v="1"/>
    <x v="59"/>
    <x v="1"/>
    <n v="1"/>
    <n v="3"/>
    <s v="Life Sciences"/>
    <x v="0"/>
    <n v="141"/>
    <x v="3"/>
    <x v="0"/>
    <n v="73"/>
    <n v="3"/>
    <n v="5"/>
    <s v="Research Director"/>
    <x v="1"/>
    <s v="Married"/>
    <x v="103"/>
    <n v="9755"/>
    <n v="3"/>
    <x v="0"/>
    <x v="0"/>
    <n v="19"/>
    <n v="3"/>
    <n v="1"/>
    <n v="80"/>
    <n v="0"/>
    <n v="28"/>
    <n v="1"/>
    <n v="2"/>
    <n v="8"/>
    <n v="3"/>
    <n v="0"/>
    <n v="7"/>
  </r>
  <r>
    <x v="36"/>
    <x v="0"/>
    <x v="0"/>
    <x v="105"/>
    <x v="0"/>
    <n v="5"/>
    <n v="3"/>
    <s v="Marketing"/>
    <x v="0"/>
    <n v="142"/>
    <x v="1"/>
    <x v="1"/>
    <n v="46"/>
    <n v="2"/>
    <n v="2"/>
    <s v="Sales Executive"/>
    <x v="2"/>
    <s v="Single"/>
    <x v="104"/>
    <n v="26959"/>
    <n v="1"/>
    <x v="0"/>
    <x v="0"/>
    <n v="11"/>
    <n v="3"/>
    <n v="4"/>
    <n v="80"/>
    <n v="0"/>
    <n v="6"/>
    <n v="1"/>
    <n v="3"/>
    <n v="6"/>
    <n v="4"/>
    <n v="0"/>
    <n v="3"/>
  </r>
  <r>
    <x v="36"/>
    <x v="1"/>
    <x v="0"/>
    <x v="106"/>
    <x v="1"/>
    <n v="7"/>
    <n v="1"/>
    <s v="Medical"/>
    <x v="0"/>
    <n v="143"/>
    <x v="2"/>
    <x v="1"/>
    <n v="64"/>
    <n v="2"/>
    <n v="1"/>
    <s v="Research Scientist"/>
    <x v="0"/>
    <s v="Married"/>
    <x v="105"/>
    <n v="26897"/>
    <n v="1"/>
    <x v="0"/>
    <x v="1"/>
    <n v="11"/>
    <n v="3"/>
    <n v="3"/>
    <n v="80"/>
    <n v="2"/>
    <n v="2"/>
    <n v="2"/>
    <n v="3"/>
    <n v="2"/>
    <n v="2"/>
    <n v="2"/>
    <n v="1"/>
  </r>
  <r>
    <x v="15"/>
    <x v="1"/>
    <x v="0"/>
    <x v="107"/>
    <x v="1"/>
    <n v="15"/>
    <n v="3"/>
    <s v="Medical"/>
    <x v="0"/>
    <n v="144"/>
    <x v="0"/>
    <x v="0"/>
    <n v="59"/>
    <n v="3"/>
    <n v="1"/>
    <s v="Laboratory Technician"/>
    <x v="0"/>
    <s v="Single"/>
    <x v="106"/>
    <n v="23785"/>
    <n v="1"/>
    <x v="0"/>
    <x v="1"/>
    <n v="15"/>
    <n v="3"/>
    <n v="3"/>
    <n v="80"/>
    <n v="0"/>
    <n v="1"/>
    <n v="5"/>
    <n v="3"/>
    <n v="0"/>
    <n v="0"/>
    <n v="0"/>
    <n v="0"/>
  </r>
  <r>
    <x v="31"/>
    <x v="1"/>
    <x v="1"/>
    <x v="108"/>
    <x v="1"/>
    <n v="1"/>
    <n v="4"/>
    <s v="Medical"/>
    <x v="0"/>
    <n v="145"/>
    <x v="3"/>
    <x v="0"/>
    <n v="30"/>
    <n v="2"/>
    <n v="3"/>
    <s v="Healthcare Representative"/>
    <x v="3"/>
    <s v="Single"/>
    <x v="107"/>
    <n v="25796"/>
    <n v="3"/>
    <x v="0"/>
    <x v="1"/>
    <n v="20"/>
    <n v="4"/>
    <n v="3"/>
    <n v="80"/>
    <n v="0"/>
    <n v="23"/>
    <n v="1"/>
    <n v="2"/>
    <n v="13"/>
    <n v="12"/>
    <n v="12"/>
    <n v="8"/>
  </r>
  <r>
    <x v="13"/>
    <x v="0"/>
    <x v="1"/>
    <x v="109"/>
    <x v="1"/>
    <n v="7"/>
    <n v="3"/>
    <s v="Life Sciences"/>
    <x v="0"/>
    <n v="147"/>
    <x v="3"/>
    <x v="1"/>
    <n v="66"/>
    <n v="1"/>
    <n v="2"/>
    <s v="Laboratory Technician"/>
    <x v="2"/>
    <s v="Single"/>
    <x v="108"/>
    <n v="22887"/>
    <n v="1"/>
    <x v="0"/>
    <x v="0"/>
    <n v="24"/>
    <n v="4"/>
    <n v="4"/>
    <n v="80"/>
    <n v="0"/>
    <n v="9"/>
    <n v="3"/>
    <n v="3"/>
    <n v="9"/>
    <n v="7"/>
    <n v="0"/>
    <n v="6"/>
  </r>
  <r>
    <x v="33"/>
    <x v="1"/>
    <x v="2"/>
    <x v="110"/>
    <x v="2"/>
    <n v="26"/>
    <n v="3"/>
    <s v="Human Resources"/>
    <x v="0"/>
    <n v="148"/>
    <x v="2"/>
    <x v="0"/>
    <n v="30"/>
    <n v="4"/>
    <n v="4"/>
    <s v="Manager"/>
    <x v="0"/>
    <s v="Single"/>
    <x v="109"/>
    <n v="13871"/>
    <n v="2"/>
    <x v="0"/>
    <x v="0"/>
    <n v="12"/>
    <n v="3"/>
    <n v="3"/>
    <n v="80"/>
    <n v="0"/>
    <n v="23"/>
    <n v="3"/>
    <n v="3"/>
    <n v="5"/>
    <n v="3"/>
    <n v="4"/>
    <n v="4"/>
  </r>
  <r>
    <x v="17"/>
    <x v="1"/>
    <x v="0"/>
    <x v="111"/>
    <x v="1"/>
    <n v="18"/>
    <n v="1"/>
    <s v="Life Sciences"/>
    <x v="0"/>
    <n v="150"/>
    <x v="0"/>
    <x v="1"/>
    <n v="52"/>
    <n v="3"/>
    <n v="1"/>
    <s v="Laboratory Technician"/>
    <x v="2"/>
    <s v="Married"/>
    <x v="110"/>
    <n v="13257"/>
    <n v="0"/>
    <x v="0"/>
    <x v="1"/>
    <n v="12"/>
    <n v="3"/>
    <n v="3"/>
    <n v="80"/>
    <n v="1"/>
    <n v="6"/>
    <n v="2"/>
    <n v="3"/>
    <n v="5"/>
    <n v="3"/>
    <n v="1"/>
    <n v="2"/>
  </r>
  <r>
    <x v="13"/>
    <x v="1"/>
    <x v="0"/>
    <x v="112"/>
    <x v="1"/>
    <n v="6"/>
    <n v="4"/>
    <s v="Life Sciences"/>
    <x v="0"/>
    <n v="151"/>
    <x v="1"/>
    <x v="0"/>
    <n v="45"/>
    <n v="2"/>
    <n v="2"/>
    <s v="Research Scientist"/>
    <x v="1"/>
    <s v="Divorced"/>
    <x v="111"/>
    <n v="15000"/>
    <n v="6"/>
    <x v="0"/>
    <x v="1"/>
    <n v="15"/>
    <n v="3"/>
    <n v="3"/>
    <n v="80"/>
    <n v="1"/>
    <n v="12"/>
    <n v="3"/>
    <n v="3"/>
    <n v="1"/>
    <n v="0"/>
    <n v="0"/>
    <n v="0"/>
  </r>
  <r>
    <x v="2"/>
    <x v="1"/>
    <x v="0"/>
    <x v="113"/>
    <x v="0"/>
    <n v="3"/>
    <n v="3"/>
    <s v="Life Sciences"/>
    <x v="0"/>
    <n v="152"/>
    <x v="1"/>
    <x v="1"/>
    <n v="87"/>
    <n v="3"/>
    <n v="3"/>
    <s v="Sales Executive"/>
    <x v="0"/>
    <s v="Single"/>
    <x v="112"/>
    <n v="14506"/>
    <n v="2"/>
    <x v="0"/>
    <x v="1"/>
    <n v="12"/>
    <n v="3"/>
    <n v="1"/>
    <n v="80"/>
    <n v="0"/>
    <n v="12"/>
    <n v="3"/>
    <n v="3"/>
    <n v="5"/>
    <n v="3"/>
    <n v="1"/>
    <n v="3"/>
  </r>
  <r>
    <x v="13"/>
    <x v="1"/>
    <x v="0"/>
    <x v="114"/>
    <x v="1"/>
    <n v="5"/>
    <n v="3"/>
    <s v="Medical"/>
    <x v="0"/>
    <n v="153"/>
    <x v="1"/>
    <x v="0"/>
    <n v="45"/>
    <n v="2"/>
    <n v="3"/>
    <s v="Manager"/>
    <x v="3"/>
    <s v="Single"/>
    <x v="113"/>
    <n v="5615"/>
    <n v="2"/>
    <x v="0"/>
    <x v="1"/>
    <n v="12"/>
    <n v="3"/>
    <n v="4"/>
    <n v="80"/>
    <n v="0"/>
    <n v="14"/>
    <n v="6"/>
    <n v="3"/>
    <n v="11"/>
    <n v="10"/>
    <n v="5"/>
    <n v="8"/>
  </r>
  <r>
    <x v="9"/>
    <x v="1"/>
    <x v="1"/>
    <x v="115"/>
    <x v="0"/>
    <n v="11"/>
    <n v="2"/>
    <s v="Technical Degree"/>
    <x v="0"/>
    <n v="154"/>
    <x v="0"/>
    <x v="0"/>
    <n v="92"/>
    <n v="3"/>
    <n v="3"/>
    <s v="Sales Executive"/>
    <x v="0"/>
    <s v="Married"/>
    <x v="114"/>
    <n v="22952"/>
    <n v="0"/>
    <x v="0"/>
    <x v="1"/>
    <n v="14"/>
    <n v="3"/>
    <n v="3"/>
    <n v="80"/>
    <n v="1"/>
    <n v="10"/>
    <n v="6"/>
    <n v="3"/>
    <n v="9"/>
    <n v="7"/>
    <n v="2"/>
    <n v="8"/>
  </r>
  <r>
    <x v="9"/>
    <x v="1"/>
    <x v="0"/>
    <x v="116"/>
    <x v="1"/>
    <n v="3"/>
    <n v="2"/>
    <s v="Life Sciences"/>
    <x v="0"/>
    <n v="155"/>
    <x v="3"/>
    <x v="0"/>
    <n v="39"/>
    <n v="3"/>
    <n v="1"/>
    <s v="Laboratory Technician"/>
    <x v="0"/>
    <s v="Divorced"/>
    <x v="115"/>
    <n v="2561"/>
    <n v="5"/>
    <x v="0"/>
    <x v="1"/>
    <n v="22"/>
    <n v="4"/>
    <n v="1"/>
    <n v="80"/>
    <n v="1"/>
    <n v="7"/>
    <n v="2"/>
    <n v="3"/>
    <n v="1"/>
    <n v="0"/>
    <n v="0"/>
    <n v="0"/>
  </r>
  <r>
    <x v="23"/>
    <x v="1"/>
    <x v="1"/>
    <x v="117"/>
    <x v="0"/>
    <n v="26"/>
    <n v="2"/>
    <s v="Life Sciences"/>
    <x v="0"/>
    <n v="158"/>
    <x v="1"/>
    <x v="1"/>
    <n v="92"/>
    <n v="3"/>
    <n v="4"/>
    <s v="Manager"/>
    <x v="0"/>
    <s v="Married"/>
    <x v="116"/>
    <n v="19494"/>
    <n v="1"/>
    <x v="0"/>
    <x v="0"/>
    <n v="12"/>
    <n v="3"/>
    <n v="4"/>
    <n v="80"/>
    <n v="2"/>
    <n v="25"/>
    <n v="3"/>
    <n v="4"/>
    <n v="25"/>
    <n v="12"/>
    <n v="4"/>
    <n v="12"/>
  </r>
  <r>
    <x v="7"/>
    <x v="1"/>
    <x v="1"/>
    <x v="118"/>
    <x v="1"/>
    <n v="23"/>
    <n v="3"/>
    <s v="Life Sciences"/>
    <x v="0"/>
    <n v="159"/>
    <x v="3"/>
    <x v="1"/>
    <n v="96"/>
    <n v="1"/>
    <n v="1"/>
    <s v="Research Scientist"/>
    <x v="2"/>
    <s v="Divorced"/>
    <x v="117"/>
    <n v="22310"/>
    <n v="1"/>
    <x v="0"/>
    <x v="1"/>
    <n v="25"/>
    <n v="4"/>
    <n v="3"/>
    <n v="80"/>
    <n v="3"/>
    <n v="10"/>
    <n v="2"/>
    <n v="2"/>
    <n v="10"/>
    <n v="7"/>
    <n v="0"/>
    <n v="9"/>
  </r>
  <r>
    <x v="3"/>
    <x v="1"/>
    <x v="2"/>
    <x v="119"/>
    <x v="0"/>
    <n v="22"/>
    <n v="2"/>
    <s v="Marketing"/>
    <x v="0"/>
    <n v="160"/>
    <x v="1"/>
    <x v="1"/>
    <n v="95"/>
    <n v="3"/>
    <n v="2"/>
    <s v="Sales Executive"/>
    <x v="1"/>
    <s v="Married"/>
    <x v="118"/>
    <n v="15480"/>
    <n v="0"/>
    <x v="0"/>
    <x v="1"/>
    <n v="13"/>
    <n v="3"/>
    <n v="1"/>
    <n v="80"/>
    <n v="1"/>
    <n v="8"/>
    <n v="2"/>
    <n v="4"/>
    <n v="7"/>
    <n v="7"/>
    <n v="0"/>
    <n v="7"/>
  </r>
  <r>
    <x v="29"/>
    <x v="0"/>
    <x v="0"/>
    <x v="120"/>
    <x v="1"/>
    <n v="14"/>
    <n v="4"/>
    <s v="Life Sciences"/>
    <x v="0"/>
    <n v="161"/>
    <x v="0"/>
    <x v="0"/>
    <n v="72"/>
    <n v="3"/>
    <n v="1"/>
    <s v="Research Scientist"/>
    <x v="1"/>
    <s v="Married"/>
    <x v="119"/>
    <n v="4510"/>
    <n v="9"/>
    <x v="0"/>
    <x v="0"/>
    <n v="18"/>
    <n v="3"/>
    <n v="1"/>
    <n v="80"/>
    <n v="3"/>
    <n v="7"/>
    <n v="2"/>
    <n v="3"/>
    <n v="5"/>
    <n v="4"/>
    <n v="4"/>
    <n v="3"/>
  </r>
  <r>
    <x v="31"/>
    <x v="1"/>
    <x v="0"/>
    <x v="121"/>
    <x v="1"/>
    <n v="6"/>
    <n v="3"/>
    <s v="Life Sciences"/>
    <x v="0"/>
    <n v="162"/>
    <x v="3"/>
    <x v="1"/>
    <n v="51"/>
    <n v="3"/>
    <n v="5"/>
    <s v="Research Director"/>
    <x v="2"/>
    <s v="Single"/>
    <x v="120"/>
    <n v="6462"/>
    <n v="7"/>
    <x v="0"/>
    <x v="1"/>
    <n v="13"/>
    <n v="3"/>
    <n v="3"/>
    <n v="80"/>
    <n v="0"/>
    <n v="23"/>
    <n v="5"/>
    <n v="3"/>
    <n v="20"/>
    <n v="18"/>
    <n v="15"/>
    <n v="15"/>
  </r>
  <r>
    <x v="12"/>
    <x v="0"/>
    <x v="0"/>
    <x v="122"/>
    <x v="0"/>
    <n v="6"/>
    <n v="4"/>
    <s v="Life Sciences"/>
    <x v="0"/>
    <n v="163"/>
    <x v="0"/>
    <x v="1"/>
    <n v="76"/>
    <n v="1"/>
    <n v="2"/>
    <s v="Sales Executive"/>
    <x v="2"/>
    <s v="Married"/>
    <x v="121"/>
    <n v="20739"/>
    <n v="4"/>
    <x v="0"/>
    <x v="0"/>
    <n v="18"/>
    <n v="3"/>
    <n v="2"/>
    <n v="80"/>
    <n v="0"/>
    <n v="12"/>
    <n v="3"/>
    <n v="2"/>
    <n v="7"/>
    <n v="7"/>
    <n v="7"/>
    <n v="7"/>
  </r>
  <r>
    <x v="25"/>
    <x v="1"/>
    <x v="0"/>
    <x v="123"/>
    <x v="1"/>
    <n v="6"/>
    <n v="3"/>
    <s v="Other"/>
    <x v="0"/>
    <n v="164"/>
    <x v="1"/>
    <x v="0"/>
    <n v="46"/>
    <n v="2"/>
    <n v="1"/>
    <s v="Research Scientist"/>
    <x v="1"/>
    <s v="Married"/>
    <x v="122"/>
    <n v="23300"/>
    <n v="1"/>
    <x v="0"/>
    <x v="1"/>
    <n v="19"/>
    <n v="3"/>
    <n v="3"/>
    <n v="80"/>
    <n v="0"/>
    <n v="5"/>
    <n v="3"/>
    <n v="2"/>
    <n v="5"/>
    <n v="4"/>
    <n v="4"/>
    <n v="3"/>
  </r>
  <r>
    <x v="34"/>
    <x v="0"/>
    <x v="0"/>
    <x v="124"/>
    <x v="1"/>
    <n v="23"/>
    <n v="4"/>
    <s v="Medical"/>
    <x v="0"/>
    <n v="165"/>
    <x v="2"/>
    <x v="0"/>
    <n v="94"/>
    <n v="3"/>
    <n v="3"/>
    <s v="Healthcare Representative"/>
    <x v="0"/>
    <s v="Married"/>
    <x v="123"/>
    <n v="3465"/>
    <n v="1"/>
    <x v="0"/>
    <x v="1"/>
    <n v="12"/>
    <n v="3"/>
    <n v="4"/>
    <n v="80"/>
    <n v="1"/>
    <n v="40"/>
    <n v="3"/>
    <n v="2"/>
    <n v="40"/>
    <n v="10"/>
    <n v="15"/>
    <n v="6"/>
  </r>
  <r>
    <x v="37"/>
    <x v="0"/>
    <x v="0"/>
    <x v="125"/>
    <x v="0"/>
    <n v="22"/>
    <n v="1"/>
    <s v="Marketing"/>
    <x v="0"/>
    <n v="167"/>
    <x v="2"/>
    <x v="1"/>
    <n v="50"/>
    <n v="3"/>
    <n v="1"/>
    <s v="Sales Representative"/>
    <x v="2"/>
    <s v="Single"/>
    <x v="124"/>
    <n v="26820"/>
    <n v="1"/>
    <x v="0"/>
    <x v="0"/>
    <n v="19"/>
    <n v="3"/>
    <n v="4"/>
    <n v="80"/>
    <n v="0"/>
    <n v="0"/>
    <n v="2"/>
    <n v="2"/>
    <n v="0"/>
    <n v="0"/>
    <n v="0"/>
    <n v="0"/>
  </r>
  <r>
    <x v="15"/>
    <x v="1"/>
    <x v="0"/>
    <x v="126"/>
    <x v="1"/>
    <n v="2"/>
    <n v="1"/>
    <s v="Technical Degree"/>
    <x v="0"/>
    <n v="169"/>
    <x v="1"/>
    <x v="1"/>
    <n v="100"/>
    <n v="3"/>
    <n v="1"/>
    <s v="Laboratory Technician"/>
    <x v="0"/>
    <s v="Married"/>
    <x v="125"/>
    <n v="19299"/>
    <n v="0"/>
    <x v="0"/>
    <x v="1"/>
    <n v="14"/>
    <n v="3"/>
    <n v="3"/>
    <n v="80"/>
    <n v="1"/>
    <n v="3"/>
    <n v="2"/>
    <n v="3"/>
    <n v="2"/>
    <n v="1"/>
    <n v="2"/>
    <n v="1"/>
  </r>
  <r>
    <x v="1"/>
    <x v="1"/>
    <x v="0"/>
    <x v="127"/>
    <x v="1"/>
    <n v="20"/>
    <n v="4"/>
    <s v="Medical"/>
    <x v="0"/>
    <n v="170"/>
    <x v="1"/>
    <x v="0"/>
    <n v="96"/>
    <n v="3"/>
    <n v="2"/>
    <s v="Manufacturing Director"/>
    <x v="3"/>
    <s v="Married"/>
    <x v="126"/>
    <n v="5549"/>
    <n v="1"/>
    <x v="0"/>
    <x v="1"/>
    <n v="14"/>
    <n v="3"/>
    <n v="3"/>
    <n v="80"/>
    <n v="0"/>
    <n v="16"/>
    <n v="2"/>
    <n v="2"/>
    <n v="15"/>
    <n v="11"/>
    <n v="5"/>
    <n v="11"/>
  </r>
  <r>
    <x v="23"/>
    <x v="1"/>
    <x v="1"/>
    <x v="128"/>
    <x v="1"/>
    <n v="28"/>
    <n v="3"/>
    <s v="Medical"/>
    <x v="0"/>
    <n v="171"/>
    <x v="0"/>
    <x v="0"/>
    <n v="72"/>
    <n v="4"/>
    <n v="1"/>
    <s v="Research Scientist"/>
    <x v="2"/>
    <s v="Single"/>
    <x v="127"/>
    <n v="16090"/>
    <n v="4"/>
    <x v="0"/>
    <x v="1"/>
    <n v="12"/>
    <n v="3"/>
    <n v="4"/>
    <n v="80"/>
    <n v="0"/>
    <n v="18"/>
    <n v="2"/>
    <n v="3"/>
    <n v="3"/>
    <n v="2"/>
    <n v="1"/>
    <n v="2"/>
  </r>
  <r>
    <x v="24"/>
    <x v="1"/>
    <x v="1"/>
    <x v="10"/>
    <x v="0"/>
    <n v="12"/>
    <n v="3"/>
    <s v="Marketing"/>
    <x v="0"/>
    <n v="174"/>
    <x v="1"/>
    <x v="0"/>
    <n v="77"/>
    <n v="3"/>
    <n v="3"/>
    <s v="Sales Executive"/>
    <x v="0"/>
    <s v="Single"/>
    <x v="128"/>
    <n v="6645"/>
    <n v="4"/>
    <x v="0"/>
    <x v="1"/>
    <n v="11"/>
    <n v="3"/>
    <n v="4"/>
    <n v="80"/>
    <n v="0"/>
    <n v="16"/>
    <n v="3"/>
    <n v="3"/>
    <n v="2"/>
    <n v="2"/>
    <n v="2"/>
    <n v="1"/>
  </r>
  <r>
    <x v="12"/>
    <x v="0"/>
    <x v="0"/>
    <x v="129"/>
    <x v="0"/>
    <n v="20"/>
    <n v="3"/>
    <s v="Life Sciences"/>
    <x v="0"/>
    <n v="175"/>
    <x v="0"/>
    <x v="0"/>
    <n v="71"/>
    <n v="1"/>
    <n v="2"/>
    <s v="Sales Executive"/>
    <x v="2"/>
    <s v="Married"/>
    <x v="129"/>
    <n v="24788"/>
    <n v="3"/>
    <x v="0"/>
    <x v="0"/>
    <n v="11"/>
    <n v="3"/>
    <n v="3"/>
    <n v="80"/>
    <n v="1"/>
    <n v="4"/>
    <n v="2"/>
    <n v="3"/>
    <n v="2"/>
    <n v="2"/>
    <n v="2"/>
    <n v="2"/>
  </r>
  <r>
    <x v="0"/>
    <x v="1"/>
    <x v="0"/>
    <x v="130"/>
    <x v="0"/>
    <n v="9"/>
    <n v="1"/>
    <s v="Life Sciences"/>
    <x v="0"/>
    <n v="176"/>
    <x v="1"/>
    <x v="1"/>
    <n v="96"/>
    <n v="3"/>
    <n v="3"/>
    <s v="Sales Executive"/>
    <x v="2"/>
    <s v="Divorced"/>
    <x v="130"/>
    <n v="21196"/>
    <n v="3"/>
    <x v="0"/>
    <x v="0"/>
    <n v="13"/>
    <n v="3"/>
    <n v="3"/>
    <n v="80"/>
    <n v="1"/>
    <n v="12"/>
    <n v="2"/>
    <n v="3"/>
    <n v="9"/>
    <n v="7"/>
    <n v="0"/>
    <n v="7"/>
  </r>
  <r>
    <x v="25"/>
    <x v="1"/>
    <x v="0"/>
    <x v="131"/>
    <x v="2"/>
    <n v="25"/>
    <n v="1"/>
    <s v="Life Sciences"/>
    <x v="0"/>
    <n v="177"/>
    <x v="1"/>
    <x v="0"/>
    <n v="61"/>
    <n v="3"/>
    <n v="1"/>
    <s v="Human Resources"/>
    <x v="2"/>
    <s v="Married"/>
    <x v="131"/>
    <n v="8916"/>
    <n v="1"/>
    <x v="0"/>
    <x v="1"/>
    <n v="23"/>
    <n v="4"/>
    <n v="4"/>
    <n v="80"/>
    <n v="1"/>
    <n v="8"/>
    <n v="3"/>
    <n v="3"/>
    <n v="8"/>
    <n v="7"/>
    <n v="5"/>
    <n v="7"/>
  </r>
  <r>
    <x v="9"/>
    <x v="1"/>
    <x v="0"/>
    <x v="8"/>
    <x v="1"/>
    <n v="6"/>
    <n v="2"/>
    <s v="Medical"/>
    <x v="0"/>
    <n v="178"/>
    <x v="0"/>
    <x v="1"/>
    <n v="84"/>
    <n v="3"/>
    <n v="2"/>
    <s v="Manufacturing Director"/>
    <x v="1"/>
    <s v="Divorced"/>
    <x v="132"/>
    <n v="2819"/>
    <n v="6"/>
    <x v="0"/>
    <x v="1"/>
    <n v="20"/>
    <n v="4"/>
    <n v="4"/>
    <n v="80"/>
    <n v="2"/>
    <n v="7"/>
    <n v="0"/>
    <n v="3"/>
    <n v="3"/>
    <n v="2"/>
    <n v="0"/>
    <n v="1"/>
  </r>
  <r>
    <x v="31"/>
    <x v="0"/>
    <x v="1"/>
    <x v="132"/>
    <x v="1"/>
    <n v="8"/>
    <n v="4"/>
    <s v="Life Sciences"/>
    <x v="0"/>
    <n v="179"/>
    <x v="3"/>
    <x v="1"/>
    <n v="53"/>
    <n v="1"/>
    <n v="3"/>
    <s v="Manufacturing Director"/>
    <x v="0"/>
    <s v="Single"/>
    <x v="133"/>
    <n v="25150"/>
    <n v="2"/>
    <x v="0"/>
    <x v="1"/>
    <n v="15"/>
    <n v="3"/>
    <n v="4"/>
    <n v="80"/>
    <n v="0"/>
    <n v="18"/>
    <n v="2"/>
    <n v="3"/>
    <n v="4"/>
    <n v="2"/>
    <n v="0"/>
    <n v="3"/>
  </r>
  <r>
    <x v="22"/>
    <x v="1"/>
    <x v="0"/>
    <x v="133"/>
    <x v="0"/>
    <n v="4"/>
    <n v="4"/>
    <s v="Life Sciences"/>
    <x v="0"/>
    <n v="182"/>
    <x v="2"/>
    <x v="0"/>
    <n v="47"/>
    <n v="2"/>
    <n v="2"/>
    <s v="Sales Executive"/>
    <x v="2"/>
    <s v="Married"/>
    <x v="134"/>
    <n v="14590"/>
    <n v="4"/>
    <x v="0"/>
    <x v="1"/>
    <n v="14"/>
    <n v="3"/>
    <n v="3"/>
    <n v="80"/>
    <n v="1"/>
    <n v="17"/>
    <n v="1"/>
    <n v="4"/>
    <n v="15"/>
    <n v="11"/>
    <n v="5"/>
    <n v="9"/>
  </r>
  <r>
    <x v="36"/>
    <x v="1"/>
    <x v="0"/>
    <x v="134"/>
    <x v="0"/>
    <n v="28"/>
    <n v="3"/>
    <s v="Life Sciences"/>
    <x v="0"/>
    <n v="183"/>
    <x v="3"/>
    <x v="1"/>
    <n v="41"/>
    <n v="2"/>
    <n v="2"/>
    <s v="Sales Executive"/>
    <x v="2"/>
    <s v="Married"/>
    <x v="135"/>
    <n v="24835"/>
    <n v="2"/>
    <x v="0"/>
    <x v="1"/>
    <n v="18"/>
    <n v="3"/>
    <n v="4"/>
    <n v="80"/>
    <n v="0"/>
    <n v="6"/>
    <n v="3"/>
    <n v="3"/>
    <n v="2"/>
    <n v="2"/>
    <n v="2"/>
    <n v="2"/>
  </r>
  <r>
    <x v="7"/>
    <x v="1"/>
    <x v="0"/>
    <x v="41"/>
    <x v="2"/>
    <n v="9"/>
    <n v="3"/>
    <s v="Human Resources"/>
    <x v="0"/>
    <n v="184"/>
    <x v="1"/>
    <x v="1"/>
    <n v="48"/>
    <n v="3"/>
    <n v="2"/>
    <s v="Human Resources"/>
    <x v="0"/>
    <s v="Married"/>
    <x v="136"/>
    <n v="13982"/>
    <n v="0"/>
    <x v="0"/>
    <x v="0"/>
    <n v="19"/>
    <n v="3"/>
    <n v="4"/>
    <n v="80"/>
    <n v="0"/>
    <n v="12"/>
    <n v="2"/>
    <n v="1"/>
    <n v="11"/>
    <n v="9"/>
    <n v="4"/>
    <n v="7"/>
  </r>
  <r>
    <x v="5"/>
    <x v="0"/>
    <x v="0"/>
    <x v="135"/>
    <x v="1"/>
    <n v="9"/>
    <n v="3"/>
    <s v="Medical"/>
    <x v="0"/>
    <n v="190"/>
    <x v="3"/>
    <x v="0"/>
    <n v="41"/>
    <n v="3"/>
    <n v="1"/>
    <s v="Laboratory Technician"/>
    <x v="3"/>
    <s v="Single"/>
    <x v="137"/>
    <n v="10224"/>
    <n v="7"/>
    <x v="0"/>
    <x v="1"/>
    <n v="22"/>
    <n v="4"/>
    <n v="1"/>
    <n v="80"/>
    <n v="0"/>
    <n v="10"/>
    <n v="2"/>
    <n v="4"/>
    <n v="5"/>
    <n v="4"/>
    <n v="0"/>
    <n v="4"/>
  </r>
  <r>
    <x v="28"/>
    <x v="1"/>
    <x v="0"/>
    <x v="136"/>
    <x v="1"/>
    <n v="29"/>
    <n v="3"/>
    <s v="Medical"/>
    <x v="0"/>
    <n v="192"/>
    <x v="1"/>
    <x v="1"/>
    <n v="83"/>
    <n v="3"/>
    <n v="1"/>
    <s v="Research Scientist"/>
    <x v="0"/>
    <s v="Single"/>
    <x v="138"/>
    <n v="9752"/>
    <n v="5"/>
    <x v="0"/>
    <x v="1"/>
    <n v="13"/>
    <n v="3"/>
    <n v="2"/>
    <n v="80"/>
    <n v="0"/>
    <n v="9"/>
    <n v="2"/>
    <n v="2"/>
    <n v="6"/>
    <n v="5"/>
    <n v="0"/>
    <n v="3"/>
  </r>
  <r>
    <x v="8"/>
    <x v="1"/>
    <x v="0"/>
    <x v="137"/>
    <x v="1"/>
    <n v="3"/>
    <n v="5"/>
    <s v="Technical Degree"/>
    <x v="0"/>
    <n v="193"/>
    <x v="2"/>
    <x v="0"/>
    <n v="32"/>
    <n v="3"/>
    <n v="2"/>
    <s v="Research Scientist"/>
    <x v="2"/>
    <s v="Single"/>
    <x v="139"/>
    <n v="2302"/>
    <n v="3"/>
    <x v="0"/>
    <x v="0"/>
    <n v="20"/>
    <n v="4"/>
    <n v="2"/>
    <n v="80"/>
    <n v="0"/>
    <n v="19"/>
    <n v="2"/>
    <n v="3"/>
    <n v="3"/>
    <n v="2"/>
    <n v="2"/>
    <n v="2"/>
  </r>
  <r>
    <x v="7"/>
    <x v="1"/>
    <x v="0"/>
    <x v="138"/>
    <x v="1"/>
    <n v="18"/>
    <n v="3"/>
    <s v="Life Sciences"/>
    <x v="0"/>
    <n v="194"/>
    <x v="3"/>
    <x v="0"/>
    <n v="75"/>
    <n v="3"/>
    <n v="1"/>
    <s v="Research Scientist"/>
    <x v="2"/>
    <s v="Single"/>
    <x v="140"/>
    <n v="23910"/>
    <n v="1"/>
    <x v="0"/>
    <x v="1"/>
    <n v="14"/>
    <n v="3"/>
    <n v="3"/>
    <n v="80"/>
    <n v="0"/>
    <n v="5"/>
    <n v="4"/>
    <n v="2"/>
    <n v="5"/>
    <n v="4"/>
    <n v="0"/>
    <n v="4"/>
  </r>
  <r>
    <x v="5"/>
    <x v="1"/>
    <x v="1"/>
    <x v="139"/>
    <x v="0"/>
    <n v="9"/>
    <n v="2"/>
    <s v="Medical"/>
    <x v="0"/>
    <n v="195"/>
    <x v="2"/>
    <x v="1"/>
    <n v="35"/>
    <n v="1"/>
    <n v="2"/>
    <s v="Sales Executive"/>
    <x v="0"/>
    <s v="Divorced"/>
    <x v="141"/>
    <n v="22812"/>
    <n v="0"/>
    <x v="0"/>
    <x v="1"/>
    <n v="17"/>
    <n v="3"/>
    <n v="4"/>
    <n v="80"/>
    <n v="3"/>
    <n v="9"/>
    <n v="2"/>
    <n v="4"/>
    <n v="8"/>
    <n v="7"/>
    <n v="0"/>
    <n v="7"/>
  </r>
  <r>
    <x v="7"/>
    <x v="1"/>
    <x v="0"/>
    <x v="140"/>
    <x v="1"/>
    <n v="5"/>
    <n v="3"/>
    <s v="Technical Degree"/>
    <x v="0"/>
    <n v="197"/>
    <x v="2"/>
    <x v="0"/>
    <n v="84"/>
    <n v="3"/>
    <n v="1"/>
    <s v="Research Scientist"/>
    <x v="3"/>
    <s v="Divorced"/>
    <x v="142"/>
    <n v="10415"/>
    <n v="5"/>
    <x v="0"/>
    <x v="1"/>
    <n v="14"/>
    <n v="3"/>
    <n v="4"/>
    <n v="80"/>
    <n v="1"/>
    <n v="8"/>
    <n v="3"/>
    <n v="3"/>
    <n v="3"/>
    <n v="2"/>
    <n v="2"/>
    <n v="2"/>
  </r>
  <r>
    <x v="7"/>
    <x v="1"/>
    <x v="0"/>
    <x v="141"/>
    <x v="1"/>
    <n v="2"/>
    <n v="1"/>
    <s v="Medical"/>
    <x v="0"/>
    <n v="198"/>
    <x v="0"/>
    <x v="1"/>
    <n v="35"/>
    <n v="2"/>
    <n v="1"/>
    <s v="Laboratory Technician"/>
    <x v="0"/>
    <s v="Single"/>
    <x v="143"/>
    <n v="11162"/>
    <n v="0"/>
    <x v="0"/>
    <x v="1"/>
    <n v="13"/>
    <n v="3"/>
    <n v="4"/>
    <n v="80"/>
    <n v="0"/>
    <n v="6"/>
    <n v="3"/>
    <n v="3"/>
    <n v="5"/>
    <n v="3"/>
    <n v="1"/>
    <n v="2"/>
  </r>
  <r>
    <x v="0"/>
    <x v="1"/>
    <x v="1"/>
    <x v="142"/>
    <x v="1"/>
    <n v="10"/>
    <n v="3"/>
    <s v="Life Sciences"/>
    <x v="0"/>
    <n v="199"/>
    <x v="2"/>
    <x v="1"/>
    <n v="91"/>
    <n v="2"/>
    <n v="4"/>
    <s v="Manager"/>
    <x v="3"/>
    <s v="Divorced"/>
    <x v="144"/>
    <n v="12888"/>
    <n v="4"/>
    <x v="0"/>
    <x v="1"/>
    <n v="13"/>
    <n v="3"/>
    <n v="2"/>
    <n v="80"/>
    <n v="1"/>
    <n v="21"/>
    <n v="2"/>
    <n v="2"/>
    <n v="7"/>
    <n v="6"/>
    <n v="7"/>
    <n v="7"/>
  </r>
  <r>
    <x v="0"/>
    <x v="1"/>
    <x v="0"/>
    <x v="143"/>
    <x v="1"/>
    <n v="9"/>
    <n v="4"/>
    <s v="Life Sciences"/>
    <x v="0"/>
    <n v="200"/>
    <x v="1"/>
    <x v="1"/>
    <n v="94"/>
    <n v="3"/>
    <n v="1"/>
    <s v="Laboratory Technician"/>
    <x v="3"/>
    <s v="Married"/>
    <x v="145"/>
    <n v="6961"/>
    <n v="2"/>
    <x v="0"/>
    <x v="1"/>
    <n v="21"/>
    <n v="4"/>
    <n v="4"/>
    <n v="80"/>
    <n v="1"/>
    <n v="7"/>
    <n v="2"/>
    <n v="3"/>
    <n v="5"/>
    <n v="0"/>
    <n v="1"/>
    <n v="4"/>
  </r>
  <r>
    <x v="37"/>
    <x v="1"/>
    <x v="0"/>
    <x v="144"/>
    <x v="1"/>
    <n v="3"/>
    <n v="1"/>
    <s v="Medical"/>
    <x v="0"/>
    <n v="201"/>
    <x v="0"/>
    <x v="0"/>
    <n v="79"/>
    <n v="3"/>
    <n v="1"/>
    <s v="Laboratory Technician"/>
    <x v="1"/>
    <s v="Single"/>
    <x v="146"/>
    <n v="16102"/>
    <n v="1"/>
    <x v="0"/>
    <x v="1"/>
    <n v="14"/>
    <n v="3"/>
    <n v="4"/>
    <n v="80"/>
    <n v="0"/>
    <n v="1"/>
    <n v="3"/>
    <n v="3"/>
    <n v="1"/>
    <n v="0"/>
    <n v="0"/>
    <n v="0"/>
  </r>
  <r>
    <x v="32"/>
    <x v="1"/>
    <x v="1"/>
    <x v="145"/>
    <x v="1"/>
    <n v="26"/>
    <n v="3"/>
    <s v="Medical"/>
    <x v="0"/>
    <n v="202"/>
    <x v="0"/>
    <x v="0"/>
    <n v="54"/>
    <n v="3"/>
    <n v="2"/>
    <s v="Research Scientist"/>
    <x v="1"/>
    <s v="Divorced"/>
    <x v="147"/>
    <n v="8504"/>
    <n v="1"/>
    <x v="0"/>
    <x v="1"/>
    <n v="11"/>
    <n v="3"/>
    <n v="1"/>
    <n v="80"/>
    <n v="1"/>
    <n v="20"/>
    <n v="2"/>
    <n v="3"/>
    <n v="20"/>
    <n v="7"/>
    <n v="2"/>
    <n v="13"/>
  </r>
  <r>
    <x v="10"/>
    <x v="1"/>
    <x v="0"/>
    <x v="146"/>
    <x v="0"/>
    <n v="1"/>
    <n v="5"/>
    <s v="Marketing"/>
    <x v="0"/>
    <n v="204"/>
    <x v="1"/>
    <x v="1"/>
    <n v="94"/>
    <n v="3"/>
    <n v="3"/>
    <s v="Sales Executive"/>
    <x v="1"/>
    <s v="Married"/>
    <x v="148"/>
    <n v="11439"/>
    <n v="1"/>
    <x v="0"/>
    <x v="1"/>
    <n v="13"/>
    <n v="3"/>
    <n v="1"/>
    <n v="80"/>
    <n v="2"/>
    <n v="10"/>
    <n v="3"/>
    <n v="3"/>
    <n v="10"/>
    <n v="8"/>
    <n v="0"/>
    <n v="6"/>
  </r>
  <r>
    <x v="16"/>
    <x v="1"/>
    <x v="0"/>
    <x v="147"/>
    <x v="0"/>
    <n v="6"/>
    <n v="2"/>
    <s v="Marketing"/>
    <x v="0"/>
    <n v="205"/>
    <x v="0"/>
    <x v="1"/>
    <n v="34"/>
    <n v="3"/>
    <n v="2"/>
    <s v="Sales Representative"/>
    <x v="2"/>
    <s v="Married"/>
    <x v="149"/>
    <n v="16047"/>
    <n v="2"/>
    <x v="0"/>
    <x v="0"/>
    <n v="20"/>
    <n v="4"/>
    <n v="4"/>
    <n v="80"/>
    <n v="1"/>
    <n v="13"/>
    <n v="3"/>
    <n v="1"/>
    <n v="7"/>
    <n v="7"/>
    <n v="4"/>
    <n v="5"/>
  </r>
  <r>
    <x v="28"/>
    <x v="1"/>
    <x v="0"/>
    <x v="148"/>
    <x v="1"/>
    <n v="9"/>
    <n v="3"/>
    <s v="Life Sciences"/>
    <x v="0"/>
    <n v="206"/>
    <x v="0"/>
    <x v="1"/>
    <n v="60"/>
    <n v="3"/>
    <n v="2"/>
    <s v="Laboratory Technician"/>
    <x v="1"/>
    <s v="Divorced"/>
    <x v="150"/>
    <n v="10901"/>
    <n v="8"/>
    <x v="0"/>
    <x v="1"/>
    <n v="18"/>
    <n v="3"/>
    <n v="3"/>
    <n v="80"/>
    <n v="1"/>
    <n v="20"/>
    <n v="2"/>
    <n v="1"/>
    <n v="17"/>
    <n v="9"/>
    <n v="0"/>
    <n v="15"/>
  </r>
  <r>
    <x v="5"/>
    <x v="1"/>
    <x v="1"/>
    <x v="149"/>
    <x v="0"/>
    <n v="8"/>
    <n v="3"/>
    <s v="Marketing"/>
    <x v="0"/>
    <n v="207"/>
    <x v="0"/>
    <x v="0"/>
    <n v="43"/>
    <n v="3"/>
    <n v="3"/>
    <s v="Sales Executive"/>
    <x v="0"/>
    <s v="Single"/>
    <x v="151"/>
    <n v="15589"/>
    <n v="1"/>
    <x v="0"/>
    <x v="1"/>
    <n v="14"/>
    <n v="3"/>
    <n v="4"/>
    <n v="80"/>
    <n v="0"/>
    <n v="9"/>
    <n v="2"/>
    <n v="3"/>
    <n v="9"/>
    <n v="8"/>
    <n v="3"/>
    <n v="7"/>
  </r>
  <r>
    <x v="11"/>
    <x v="1"/>
    <x v="2"/>
    <x v="150"/>
    <x v="1"/>
    <n v="1"/>
    <n v="1"/>
    <s v="Technical Degree"/>
    <x v="0"/>
    <n v="208"/>
    <x v="2"/>
    <x v="1"/>
    <n v="41"/>
    <n v="3"/>
    <n v="2"/>
    <s v="Manufacturing Director"/>
    <x v="2"/>
    <s v="Married"/>
    <x v="152"/>
    <n v="26283"/>
    <n v="1"/>
    <x v="0"/>
    <x v="1"/>
    <n v="13"/>
    <n v="3"/>
    <n v="1"/>
    <n v="80"/>
    <n v="1"/>
    <n v="10"/>
    <n v="1"/>
    <n v="3"/>
    <n v="10"/>
    <n v="7"/>
    <n v="0"/>
    <n v="9"/>
  </r>
  <r>
    <x v="31"/>
    <x v="1"/>
    <x v="0"/>
    <x v="151"/>
    <x v="1"/>
    <n v="7"/>
    <n v="4"/>
    <s v="Medical"/>
    <x v="0"/>
    <n v="211"/>
    <x v="0"/>
    <x v="1"/>
    <n v="34"/>
    <n v="2"/>
    <n v="2"/>
    <s v="Manufacturing Director"/>
    <x v="2"/>
    <s v="Married"/>
    <x v="153"/>
    <n v="13983"/>
    <n v="2"/>
    <x v="0"/>
    <x v="1"/>
    <n v="17"/>
    <n v="3"/>
    <n v="3"/>
    <n v="80"/>
    <n v="0"/>
    <n v="10"/>
    <n v="2"/>
    <n v="3"/>
    <n v="1"/>
    <n v="0"/>
    <n v="0"/>
    <n v="0"/>
  </r>
  <r>
    <x v="34"/>
    <x v="1"/>
    <x v="0"/>
    <x v="152"/>
    <x v="1"/>
    <n v="9"/>
    <n v="3"/>
    <s v="Medical"/>
    <x v="0"/>
    <n v="214"/>
    <x v="0"/>
    <x v="0"/>
    <n v="75"/>
    <n v="2"/>
    <n v="1"/>
    <s v="Research Scientist"/>
    <x v="1"/>
    <s v="Married"/>
    <x v="154"/>
    <n v="11873"/>
    <n v="4"/>
    <x v="0"/>
    <x v="0"/>
    <n v="20"/>
    <n v="4"/>
    <n v="2"/>
    <n v="80"/>
    <n v="1"/>
    <n v="9"/>
    <n v="3"/>
    <n v="2"/>
    <n v="1"/>
    <n v="0"/>
    <n v="0"/>
    <n v="0"/>
  </r>
  <r>
    <x v="32"/>
    <x v="1"/>
    <x v="0"/>
    <x v="153"/>
    <x v="0"/>
    <n v="4"/>
    <n v="4"/>
    <s v="Marketing"/>
    <x v="0"/>
    <n v="215"/>
    <x v="1"/>
    <x v="1"/>
    <n v="67"/>
    <n v="2"/>
    <n v="3"/>
    <s v="Sales Executive"/>
    <x v="0"/>
    <s v="Married"/>
    <x v="155"/>
    <n v="8552"/>
    <n v="7"/>
    <x v="0"/>
    <x v="1"/>
    <n v="11"/>
    <n v="3"/>
    <n v="1"/>
    <n v="80"/>
    <n v="1"/>
    <n v="15"/>
    <n v="2"/>
    <n v="2"/>
    <n v="12"/>
    <n v="11"/>
    <n v="2"/>
    <n v="11"/>
  </r>
  <r>
    <x v="13"/>
    <x v="1"/>
    <x v="1"/>
    <x v="154"/>
    <x v="0"/>
    <n v="2"/>
    <n v="4"/>
    <s v="Marketing"/>
    <x v="0"/>
    <n v="216"/>
    <x v="1"/>
    <x v="0"/>
    <n v="75"/>
    <n v="3"/>
    <n v="1"/>
    <s v="Sales Representative"/>
    <x v="2"/>
    <s v="Married"/>
    <x v="156"/>
    <n v="11314"/>
    <n v="6"/>
    <x v="0"/>
    <x v="1"/>
    <n v="18"/>
    <n v="3"/>
    <n v="4"/>
    <n v="80"/>
    <n v="1"/>
    <n v="6"/>
    <n v="3"/>
    <n v="3"/>
    <n v="4"/>
    <n v="3"/>
    <n v="1"/>
    <n v="2"/>
  </r>
  <r>
    <x v="15"/>
    <x v="1"/>
    <x v="0"/>
    <x v="155"/>
    <x v="1"/>
    <n v="19"/>
    <n v="1"/>
    <s v="Medical"/>
    <x v="0"/>
    <n v="217"/>
    <x v="1"/>
    <x v="1"/>
    <n v="80"/>
    <n v="3"/>
    <n v="1"/>
    <s v="Research Scientist"/>
    <x v="0"/>
    <s v="Married"/>
    <x v="157"/>
    <n v="11992"/>
    <n v="1"/>
    <x v="0"/>
    <x v="1"/>
    <n v="24"/>
    <n v="4"/>
    <n v="1"/>
    <n v="80"/>
    <n v="2"/>
    <n v="2"/>
    <n v="6"/>
    <n v="3"/>
    <n v="2"/>
    <n v="2"/>
    <n v="2"/>
    <n v="2"/>
  </r>
  <r>
    <x v="4"/>
    <x v="1"/>
    <x v="2"/>
    <x v="27"/>
    <x v="1"/>
    <n v="9"/>
    <n v="3"/>
    <s v="Medical"/>
    <x v="0"/>
    <n v="218"/>
    <x v="2"/>
    <x v="1"/>
    <n v="57"/>
    <n v="3"/>
    <n v="1"/>
    <s v="Research Scientist"/>
    <x v="1"/>
    <s v="Divorced"/>
    <x v="158"/>
    <n v="5970"/>
    <n v="6"/>
    <x v="0"/>
    <x v="1"/>
    <n v="18"/>
    <n v="3"/>
    <n v="4"/>
    <n v="80"/>
    <n v="1"/>
    <n v="6"/>
    <n v="1"/>
    <n v="1"/>
    <n v="2"/>
    <n v="2"/>
    <n v="2"/>
    <n v="2"/>
  </r>
  <r>
    <x v="14"/>
    <x v="1"/>
    <x v="0"/>
    <x v="156"/>
    <x v="1"/>
    <n v="21"/>
    <n v="3"/>
    <s v="Medical"/>
    <x v="0"/>
    <n v="221"/>
    <x v="1"/>
    <x v="1"/>
    <n v="42"/>
    <n v="3"/>
    <n v="1"/>
    <s v="Research Scientist"/>
    <x v="0"/>
    <s v="Married"/>
    <x v="159"/>
    <n v="6672"/>
    <n v="1"/>
    <x v="0"/>
    <x v="1"/>
    <n v="11"/>
    <n v="3"/>
    <n v="3"/>
    <n v="80"/>
    <n v="1"/>
    <n v="5"/>
    <n v="2"/>
    <n v="1"/>
    <n v="5"/>
    <n v="2"/>
    <n v="0"/>
    <n v="2"/>
  </r>
  <r>
    <x v="38"/>
    <x v="1"/>
    <x v="0"/>
    <x v="16"/>
    <x v="1"/>
    <n v="24"/>
    <n v="2"/>
    <s v="Life Sciences"/>
    <x v="0"/>
    <n v="223"/>
    <x v="1"/>
    <x v="1"/>
    <n v="83"/>
    <n v="4"/>
    <n v="3"/>
    <s v="Healthcare Representative"/>
    <x v="0"/>
    <s v="Divorced"/>
    <x v="160"/>
    <n v="23402"/>
    <n v="3"/>
    <x v="0"/>
    <x v="0"/>
    <n v="16"/>
    <n v="3"/>
    <n v="2"/>
    <n v="80"/>
    <n v="1"/>
    <n v="12"/>
    <n v="2"/>
    <n v="1"/>
    <n v="5"/>
    <n v="3"/>
    <n v="1"/>
    <n v="4"/>
  </r>
  <r>
    <x v="4"/>
    <x v="1"/>
    <x v="2"/>
    <x v="157"/>
    <x v="1"/>
    <n v="3"/>
    <n v="3"/>
    <s v="Medical"/>
    <x v="0"/>
    <n v="224"/>
    <x v="1"/>
    <x v="1"/>
    <n v="79"/>
    <n v="2"/>
    <n v="1"/>
    <s v="Research Scientist"/>
    <x v="2"/>
    <s v="Divorced"/>
    <x v="161"/>
    <n v="25326"/>
    <n v="1"/>
    <x v="0"/>
    <x v="0"/>
    <n v="15"/>
    <n v="3"/>
    <n v="4"/>
    <n v="80"/>
    <n v="1"/>
    <n v="1"/>
    <n v="2"/>
    <n v="2"/>
    <n v="1"/>
    <n v="1"/>
    <n v="0"/>
    <n v="1"/>
  </r>
  <r>
    <x v="24"/>
    <x v="1"/>
    <x v="0"/>
    <x v="158"/>
    <x v="1"/>
    <n v="11"/>
    <n v="3"/>
    <s v="Life Sciences"/>
    <x v="0"/>
    <n v="226"/>
    <x v="1"/>
    <x v="0"/>
    <n v="53"/>
    <n v="3"/>
    <n v="5"/>
    <s v="Manager"/>
    <x v="1"/>
    <s v="Single"/>
    <x v="162"/>
    <n v="17053"/>
    <n v="3"/>
    <x v="0"/>
    <x v="1"/>
    <n v="15"/>
    <n v="3"/>
    <n v="2"/>
    <n v="80"/>
    <n v="0"/>
    <n v="21"/>
    <n v="5"/>
    <n v="3"/>
    <n v="5"/>
    <n v="4"/>
    <n v="4"/>
    <n v="4"/>
  </r>
  <r>
    <x v="0"/>
    <x v="1"/>
    <x v="0"/>
    <x v="159"/>
    <x v="1"/>
    <n v="14"/>
    <n v="3"/>
    <s v="Life Sciences"/>
    <x v="0"/>
    <n v="227"/>
    <x v="3"/>
    <x v="1"/>
    <n v="56"/>
    <n v="3"/>
    <n v="1"/>
    <s v="Research Scientist"/>
    <x v="2"/>
    <s v="Divorced"/>
    <x v="163"/>
    <n v="4609"/>
    <n v="4"/>
    <x v="0"/>
    <x v="1"/>
    <n v="12"/>
    <n v="3"/>
    <n v="1"/>
    <n v="80"/>
    <n v="1"/>
    <n v="13"/>
    <n v="2"/>
    <n v="3"/>
    <n v="9"/>
    <n v="8"/>
    <n v="1"/>
    <n v="8"/>
  </r>
  <r>
    <x v="7"/>
    <x v="1"/>
    <x v="0"/>
    <x v="67"/>
    <x v="0"/>
    <n v="5"/>
    <n v="3"/>
    <s v="Life Sciences"/>
    <x v="0"/>
    <n v="228"/>
    <x v="0"/>
    <x v="0"/>
    <n v="41"/>
    <n v="3"/>
    <n v="3"/>
    <s v="Sales Executive"/>
    <x v="0"/>
    <s v="Married"/>
    <x v="164"/>
    <n v="8053"/>
    <n v="2"/>
    <x v="0"/>
    <x v="1"/>
    <n v="12"/>
    <n v="3"/>
    <n v="3"/>
    <n v="80"/>
    <n v="1"/>
    <n v="12"/>
    <n v="2"/>
    <n v="3"/>
    <n v="10"/>
    <n v="9"/>
    <n v="7"/>
    <n v="4"/>
  </r>
  <r>
    <x v="8"/>
    <x v="1"/>
    <x v="0"/>
    <x v="160"/>
    <x v="0"/>
    <n v="1"/>
    <n v="4"/>
    <s v="Life Sciences"/>
    <x v="0"/>
    <n v="230"/>
    <x v="3"/>
    <x v="0"/>
    <n v="59"/>
    <n v="2"/>
    <n v="2"/>
    <s v="Sales Executive"/>
    <x v="0"/>
    <s v="Single"/>
    <x v="165"/>
    <n v="12930"/>
    <n v="4"/>
    <x v="0"/>
    <x v="1"/>
    <n v="22"/>
    <n v="4"/>
    <n v="3"/>
    <n v="80"/>
    <n v="0"/>
    <n v="12"/>
    <n v="2"/>
    <n v="4"/>
    <n v="8"/>
    <n v="3"/>
    <n v="0"/>
    <n v="7"/>
  </r>
  <r>
    <x v="5"/>
    <x v="1"/>
    <x v="0"/>
    <x v="96"/>
    <x v="1"/>
    <n v="6"/>
    <n v="5"/>
    <s v="Life Sciences"/>
    <x v="0"/>
    <n v="231"/>
    <x v="1"/>
    <x v="1"/>
    <n v="43"/>
    <n v="3"/>
    <n v="1"/>
    <s v="Research Scientist"/>
    <x v="2"/>
    <s v="Single"/>
    <x v="71"/>
    <n v="12430"/>
    <n v="3"/>
    <x v="0"/>
    <x v="1"/>
    <n v="20"/>
    <n v="4"/>
    <n v="1"/>
    <n v="80"/>
    <n v="0"/>
    <n v="8"/>
    <n v="2"/>
    <n v="3"/>
    <n v="5"/>
    <n v="4"/>
    <n v="1"/>
    <n v="4"/>
  </r>
  <r>
    <x v="4"/>
    <x v="1"/>
    <x v="0"/>
    <x v="161"/>
    <x v="1"/>
    <n v="17"/>
    <n v="3"/>
    <s v="Technical Degree"/>
    <x v="0"/>
    <n v="233"/>
    <x v="1"/>
    <x v="1"/>
    <n v="51"/>
    <n v="3"/>
    <n v="1"/>
    <s v="Research Scientist"/>
    <x v="1"/>
    <s v="Married"/>
    <x v="166"/>
    <n v="13364"/>
    <n v="0"/>
    <x v="0"/>
    <x v="0"/>
    <n v="16"/>
    <n v="3"/>
    <n v="4"/>
    <n v="80"/>
    <n v="1"/>
    <n v="6"/>
    <n v="3"/>
    <n v="2"/>
    <n v="5"/>
    <n v="2"/>
    <n v="1"/>
    <n v="1"/>
  </r>
  <r>
    <x v="37"/>
    <x v="0"/>
    <x v="1"/>
    <x v="162"/>
    <x v="0"/>
    <n v="1"/>
    <n v="1"/>
    <s v="Technical Degree"/>
    <x v="0"/>
    <n v="235"/>
    <x v="1"/>
    <x v="0"/>
    <n v="100"/>
    <n v="1"/>
    <n v="1"/>
    <s v="Sales Representative"/>
    <x v="3"/>
    <s v="Single"/>
    <x v="167"/>
    <n v="20989"/>
    <n v="0"/>
    <x v="0"/>
    <x v="1"/>
    <n v="21"/>
    <n v="4"/>
    <n v="1"/>
    <n v="80"/>
    <n v="0"/>
    <n v="1"/>
    <n v="5"/>
    <n v="4"/>
    <n v="0"/>
    <n v="0"/>
    <n v="0"/>
    <n v="0"/>
  </r>
  <r>
    <x v="9"/>
    <x v="1"/>
    <x v="1"/>
    <x v="163"/>
    <x v="1"/>
    <n v="3"/>
    <n v="2"/>
    <s v="Medical"/>
    <x v="0"/>
    <n v="238"/>
    <x v="2"/>
    <x v="1"/>
    <n v="30"/>
    <n v="3"/>
    <n v="1"/>
    <s v="Laboratory Technician"/>
    <x v="1"/>
    <s v="Single"/>
    <x v="168"/>
    <n v="15062"/>
    <n v="4"/>
    <x v="0"/>
    <x v="1"/>
    <n v="12"/>
    <n v="3"/>
    <n v="3"/>
    <n v="80"/>
    <n v="0"/>
    <n v="13"/>
    <n v="3"/>
    <n v="2"/>
    <n v="8"/>
    <n v="7"/>
    <n v="7"/>
    <n v="2"/>
  </r>
  <r>
    <x v="7"/>
    <x v="1"/>
    <x v="2"/>
    <x v="81"/>
    <x v="1"/>
    <n v="9"/>
    <n v="3"/>
    <s v="Medical"/>
    <x v="0"/>
    <n v="239"/>
    <x v="1"/>
    <x v="1"/>
    <n v="66"/>
    <n v="3"/>
    <n v="2"/>
    <s v="Laboratory Technician"/>
    <x v="3"/>
    <s v="Divorced"/>
    <x v="169"/>
    <n v="11012"/>
    <n v="1"/>
    <x v="0"/>
    <x v="1"/>
    <n v="11"/>
    <n v="3"/>
    <n v="3"/>
    <n v="80"/>
    <n v="2"/>
    <n v="12"/>
    <n v="4"/>
    <n v="3"/>
    <n v="12"/>
    <n v="9"/>
    <n v="6"/>
    <n v="10"/>
  </r>
  <r>
    <x v="28"/>
    <x v="1"/>
    <x v="0"/>
    <x v="164"/>
    <x v="0"/>
    <n v="4"/>
    <n v="2"/>
    <s v="Life Sciences"/>
    <x v="0"/>
    <n v="240"/>
    <x v="1"/>
    <x v="0"/>
    <n v="30"/>
    <n v="3"/>
    <n v="2"/>
    <s v="Sales Executive"/>
    <x v="3"/>
    <s v="Divorced"/>
    <x v="170"/>
    <n v="6319"/>
    <n v="4"/>
    <x v="0"/>
    <x v="0"/>
    <n v="11"/>
    <n v="3"/>
    <n v="1"/>
    <n v="80"/>
    <n v="1"/>
    <n v="9"/>
    <n v="3"/>
    <n v="4"/>
    <n v="5"/>
    <n v="4"/>
    <n v="0"/>
    <n v="3"/>
  </r>
  <r>
    <x v="29"/>
    <x v="1"/>
    <x v="0"/>
    <x v="165"/>
    <x v="1"/>
    <n v="8"/>
    <n v="3"/>
    <s v="Life Sciences"/>
    <x v="0"/>
    <n v="241"/>
    <x v="1"/>
    <x v="0"/>
    <n v="67"/>
    <n v="3"/>
    <n v="1"/>
    <s v="Research Scientist"/>
    <x v="3"/>
    <s v="Divorced"/>
    <x v="171"/>
    <n v="13939"/>
    <n v="4"/>
    <x v="0"/>
    <x v="0"/>
    <n v="18"/>
    <n v="3"/>
    <n v="3"/>
    <n v="80"/>
    <n v="1"/>
    <n v="19"/>
    <n v="3"/>
    <n v="3"/>
    <n v="2"/>
    <n v="2"/>
    <n v="2"/>
    <n v="2"/>
  </r>
  <r>
    <x v="3"/>
    <x v="1"/>
    <x v="0"/>
    <x v="166"/>
    <x v="1"/>
    <n v="2"/>
    <n v="3"/>
    <s v="Life Sciences"/>
    <x v="0"/>
    <n v="242"/>
    <x v="1"/>
    <x v="1"/>
    <n v="90"/>
    <n v="3"/>
    <n v="1"/>
    <s v="Research Scientist"/>
    <x v="0"/>
    <s v="Single"/>
    <x v="172"/>
    <n v="10515"/>
    <n v="0"/>
    <x v="0"/>
    <x v="1"/>
    <n v="14"/>
    <n v="3"/>
    <n v="1"/>
    <n v="80"/>
    <n v="0"/>
    <n v="4"/>
    <n v="2"/>
    <n v="4"/>
    <n v="3"/>
    <n v="1"/>
    <n v="0"/>
    <n v="2"/>
  </r>
  <r>
    <x v="37"/>
    <x v="0"/>
    <x v="0"/>
    <x v="154"/>
    <x v="1"/>
    <n v="2"/>
    <n v="3"/>
    <s v="Life Sciences"/>
    <x v="0"/>
    <n v="243"/>
    <x v="0"/>
    <x v="1"/>
    <n v="47"/>
    <n v="2"/>
    <n v="1"/>
    <s v="Laboratory Technician"/>
    <x v="0"/>
    <s v="Single"/>
    <x v="173"/>
    <n v="9241"/>
    <n v="1"/>
    <x v="0"/>
    <x v="1"/>
    <n v="22"/>
    <n v="4"/>
    <n v="3"/>
    <n v="80"/>
    <n v="0"/>
    <n v="1"/>
    <n v="3"/>
    <n v="2"/>
    <n v="1"/>
    <n v="0"/>
    <n v="1"/>
    <n v="0"/>
  </r>
  <r>
    <x v="21"/>
    <x v="1"/>
    <x v="0"/>
    <x v="167"/>
    <x v="0"/>
    <n v="1"/>
    <n v="2"/>
    <s v="Marketing"/>
    <x v="0"/>
    <n v="244"/>
    <x v="0"/>
    <x v="0"/>
    <n v="92"/>
    <n v="3"/>
    <n v="3"/>
    <s v="Sales Executive"/>
    <x v="3"/>
    <s v="Divorced"/>
    <x v="174"/>
    <n v="2137"/>
    <n v="1"/>
    <x v="0"/>
    <x v="1"/>
    <n v="25"/>
    <n v="4"/>
    <n v="3"/>
    <n v="80"/>
    <n v="3"/>
    <n v="24"/>
    <n v="2"/>
    <n v="3"/>
    <n v="24"/>
    <n v="13"/>
    <n v="15"/>
    <n v="7"/>
  </r>
  <r>
    <x v="8"/>
    <x v="1"/>
    <x v="0"/>
    <x v="168"/>
    <x v="1"/>
    <n v="9"/>
    <n v="2"/>
    <s v="Life Sciences"/>
    <x v="0"/>
    <n v="245"/>
    <x v="1"/>
    <x v="0"/>
    <n v="75"/>
    <n v="3"/>
    <n v="1"/>
    <s v="Laboratory Technician"/>
    <x v="0"/>
    <s v="Single"/>
    <x v="175"/>
    <n v="6319"/>
    <n v="1"/>
    <x v="0"/>
    <x v="1"/>
    <n v="12"/>
    <n v="3"/>
    <n v="3"/>
    <n v="80"/>
    <n v="0"/>
    <n v="2"/>
    <n v="3"/>
    <n v="3"/>
    <n v="2"/>
    <n v="2"/>
    <n v="2"/>
    <n v="1"/>
  </r>
  <r>
    <x v="12"/>
    <x v="1"/>
    <x v="0"/>
    <x v="169"/>
    <x v="1"/>
    <n v="12"/>
    <n v="1"/>
    <s v="Medical"/>
    <x v="0"/>
    <n v="246"/>
    <x v="1"/>
    <x v="0"/>
    <n v="95"/>
    <n v="3"/>
    <n v="1"/>
    <s v="Research Scientist"/>
    <x v="0"/>
    <s v="Married"/>
    <x v="176"/>
    <n v="6984"/>
    <n v="8"/>
    <x v="0"/>
    <x v="0"/>
    <n v="23"/>
    <n v="4"/>
    <n v="3"/>
    <n v="80"/>
    <n v="1"/>
    <n v="7"/>
    <n v="0"/>
    <n v="3"/>
    <n v="4"/>
    <n v="2"/>
    <n v="0"/>
    <n v="2"/>
  </r>
  <r>
    <x v="13"/>
    <x v="1"/>
    <x v="0"/>
    <x v="170"/>
    <x v="1"/>
    <n v="27"/>
    <n v="2"/>
    <s v="Medical"/>
    <x v="0"/>
    <n v="247"/>
    <x v="2"/>
    <x v="0"/>
    <n v="95"/>
    <n v="3"/>
    <n v="1"/>
    <s v="Research Scientist"/>
    <x v="1"/>
    <s v="Single"/>
    <x v="177"/>
    <n v="5711"/>
    <n v="2"/>
    <x v="0"/>
    <x v="1"/>
    <n v="15"/>
    <n v="3"/>
    <n v="4"/>
    <n v="80"/>
    <n v="0"/>
    <n v="9"/>
    <n v="3"/>
    <n v="3"/>
    <n v="3"/>
    <n v="2"/>
    <n v="1"/>
    <n v="2"/>
  </r>
  <r>
    <x v="0"/>
    <x v="0"/>
    <x v="0"/>
    <x v="171"/>
    <x v="0"/>
    <n v="20"/>
    <n v="2"/>
    <s v="Marketing"/>
    <x v="0"/>
    <n v="248"/>
    <x v="0"/>
    <x v="0"/>
    <n v="70"/>
    <n v="3"/>
    <n v="1"/>
    <s v="Sales Representative"/>
    <x v="1"/>
    <s v="Single"/>
    <x v="178"/>
    <n v="21728"/>
    <n v="1"/>
    <x v="0"/>
    <x v="0"/>
    <n v="22"/>
    <n v="4"/>
    <n v="4"/>
    <n v="80"/>
    <n v="0"/>
    <n v="4"/>
    <n v="5"/>
    <n v="2"/>
    <n v="4"/>
    <n v="3"/>
    <n v="0"/>
    <n v="2"/>
  </r>
  <r>
    <x v="24"/>
    <x v="1"/>
    <x v="0"/>
    <x v="172"/>
    <x v="1"/>
    <n v="1"/>
    <n v="3"/>
    <s v="Medical"/>
    <x v="0"/>
    <n v="249"/>
    <x v="1"/>
    <x v="1"/>
    <n v="86"/>
    <n v="2"/>
    <n v="1"/>
    <s v="Laboratory Technician"/>
    <x v="2"/>
    <s v="Married"/>
    <x v="179"/>
    <n v="3425"/>
    <n v="2"/>
    <x v="0"/>
    <x v="1"/>
    <n v="15"/>
    <n v="3"/>
    <n v="4"/>
    <n v="80"/>
    <n v="1"/>
    <n v="5"/>
    <n v="2"/>
    <n v="2"/>
    <n v="3"/>
    <n v="2"/>
    <n v="0"/>
    <n v="2"/>
  </r>
  <r>
    <x v="16"/>
    <x v="1"/>
    <x v="0"/>
    <x v="173"/>
    <x v="1"/>
    <n v="13"/>
    <n v="2"/>
    <s v="Medical"/>
    <x v="0"/>
    <n v="250"/>
    <x v="2"/>
    <x v="0"/>
    <n v="57"/>
    <n v="4"/>
    <n v="2"/>
    <s v="Manufacturing Director"/>
    <x v="3"/>
    <s v="Divorced"/>
    <x v="180"/>
    <n v="26250"/>
    <n v="1"/>
    <x v="0"/>
    <x v="1"/>
    <n v="11"/>
    <n v="3"/>
    <n v="3"/>
    <n v="80"/>
    <n v="2"/>
    <n v="5"/>
    <n v="3"/>
    <n v="3"/>
    <n v="4"/>
    <n v="2"/>
    <n v="1"/>
    <n v="3"/>
  </r>
  <r>
    <x v="3"/>
    <x v="1"/>
    <x v="0"/>
    <x v="174"/>
    <x v="1"/>
    <n v="14"/>
    <n v="3"/>
    <s v="Medical"/>
    <x v="0"/>
    <n v="252"/>
    <x v="2"/>
    <x v="0"/>
    <n v="72"/>
    <n v="3"/>
    <n v="1"/>
    <s v="Research Scientist"/>
    <x v="1"/>
    <s v="Married"/>
    <x v="181"/>
    <n v="4673"/>
    <n v="1"/>
    <x v="0"/>
    <x v="1"/>
    <n v="13"/>
    <n v="3"/>
    <n v="4"/>
    <n v="80"/>
    <n v="1"/>
    <n v="8"/>
    <n v="5"/>
    <n v="3"/>
    <n v="8"/>
    <n v="7"/>
    <n v="1"/>
    <n v="6"/>
  </r>
  <r>
    <x v="32"/>
    <x v="1"/>
    <x v="0"/>
    <x v="62"/>
    <x v="1"/>
    <n v="4"/>
    <n v="1"/>
    <s v="Medical"/>
    <x v="0"/>
    <n v="253"/>
    <x v="2"/>
    <x v="0"/>
    <n v="46"/>
    <n v="3"/>
    <n v="5"/>
    <s v="Manager"/>
    <x v="2"/>
    <s v="Married"/>
    <x v="182"/>
    <n v="6499"/>
    <n v="1"/>
    <x v="0"/>
    <x v="1"/>
    <n v="14"/>
    <n v="3"/>
    <n v="2"/>
    <n v="80"/>
    <n v="1"/>
    <n v="21"/>
    <n v="2"/>
    <n v="3"/>
    <n v="20"/>
    <n v="8"/>
    <n v="9"/>
    <n v="9"/>
  </r>
  <r>
    <x v="27"/>
    <x v="1"/>
    <x v="0"/>
    <x v="175"/>
    <x v="1"/>
    <n v="14"/>
    <n v="4"/>
    <s v="Medical"/>
    <x v="0"/>
    <n v="254"/>
    <x v="1"/>
    <x v="1"/>
    <n v="61"/>
    <n v="4"/>
    <n v="5"/>
    <s v="Research Director"/>
    <x v="1"/>
    <s v="Single"/>
    <x v="183"/>
    <n v="13339"/>
    <n v="8"/>
    <x v="0"/>
    <x v="1"/>
    <n v="11"/>
    <n v="3"/>
    <n v="4"/>
    <n v="80"/>
    <n v="0"/>
    <n v="36"/>
    <n v="3"/>
    <n v="3"/>
    <n v="24"/>
    <n v="15"/>
    <n v="2"/>
    <n v="15"/>
  </r>
  <r>
    <x v="13"/>
    <x v="1"/>
    <x v="1"/>
    <x v="176"/>
    <x v="1"/>
    <n v="2"/>
    <n v="1"/>
    <s v="Life Sciences"/>
    <x v="0"/>
    <n v="256"/>
    <x v="2"/>
    <x v="1"/>
    <n v="45"/>
    <n v="2"/>
    <n v="2"/>
    <s v="Manufacturing Director"/>
    <x v="2"/>
    <s v="Married"/>
    <x v="184"/>
    <n v="14074"/>
    <n v="1"/>
    <x v="0"/>
    <x v="1"/>
    <n v="17"/>
    <n v="3"/>
    <n v="3"/>
    <n v="80"/>
    <n v="0"/>
    <n v="10"/>
    <n v="2"/>
    <n v="2"/>
    <n v="10"/>
    <n v="9"/>
    <n v="1"/>
    <n v="9"/>
  </r>
  <r>
    <x v="31"/>
    <x v="1"/>
    <x v="0"/>
    <x v="177"/>
    <x v="1"/>
    <n v="3"/>
    <n v="3"/>
    <s v="Medical"/>
    <x v="0"/>
    <n v="258"/>
    <x v="2"/>
    <x v="0"/>
    <n v="98"/>
    <n v="3"/>
    <n v="4"/>
    <s v="Healthcare Representative"/>
    <x v="1"/>
    <s v="Single"/>
    <x v="185"/>
    <n v="7192"/>
    <n v="3"/>
    <x v="0"/>
    <x v="1"/>
    <n v="18"/>
    <n v="3"/>
    <n v="3"/>
    <n v="80"/>
    <n v="0"/>
    <n v="21"/>
    <n v="6"/>
    <n v="3"/>
    <n v="7"/>
    <n v="7"/>
    <n v="1"/>
    <n v="0"/>
  </r>
  <r>
    <x v="39"/>
    <x v="1"/>
    <x v="0"/>
    <x v="24"/>
    <x v="1"/>
    <n v="1"/>
    <n v="4"/>
    <s v="Life Sciences"/>
    <x v="0"/>
    <n v="259"/>
    <x v="1"/>
    <x v="1"/>
    <n v="65"/>
    <n v="2"/>
    <n v="5"/>
    <s v="Manager"/>
    <x v="2"/>
    <s v="Married"/>
    <x v="186"/>
    <n v="5678"/>
    <n v="0"/>
    <x v="0"/>
    <x v="1"/>
    <n v="14"/>
    <n v="3"/>
    <n v="1"/>
    <n v="80"/>
    <n v="1"/>
    <n v="34"/>
    <n v="5"/>
    <n v="3"/>
    <n v="33"/>
    <n v="18"/>
    <n v="11"/>
    <n v="9"/>
  </r>
  <r>
    <x v="4"/>
    <x v="1"/>
    <x v="0"/>
    <x v="178"/>
    <x v="1"/>
    <n v="9"/>
    <n v="3"/>
    <s v="Medical"/>
    <x v="0"/>
    <n v="260"/>
    <x v="2"/>
    <x v="0"/>
    <n v="99"/>
    <n v="3"/>
    <n v="1"/>
    <s v="Research Scientist"/>
    <x v="1"/>
    <s v="Single"/>
    <x v="187"/>
    <n v="11781"/>
    <n v="1"/>
    <x v="0"/>
    <x v="1"/>
    <n v="16"/>
    <n v="3"/>
    <n v="4"/>
    <n v="80"/>
    <n v="0"/>
    <n v="7"/>
    <n v="2"/>
    <n v="2"/>
    <n v="7"/>
    <n v="7"/>
    <n v="0"/>
    <n v="3"/>
  </r>
  <r>
    <x v="10"/>
    <x v="0"/>
    <x v="0"/>
    <x v="179"/>
    <x v="1"/>
    <n v="23"/>
    <n v="2"/>
    <s v="Life Sciences"/>
    <x v="0"/>
    <n v="261"/>
    <x v="0"/>
    <x v="1"/>
    <n v="50"/>
    <n v="2"/>
    <n v="2"/>
    <s v="Manufacturing Director"/>
    <x v="2"/>
    <s v="Married"/>
    <x v="188"/>
    <n v="15497"/>
    <n v="3"/>
    <x v="0"/>
    <x v="0"/>
    <n v="13"/>
    <n v="3"/>
    <n v="1"/>
    <n v="80"/>
    <n v="0"/>
    <n v="8"/>
    <n v="1"/>
    <n v="3"/>
    <n v="1"/>
    <n v="0"/>
    <n v="0"/>
    <n v="1"/>
  </r>
  <r>
    <x v="23"/>
    <x v="1"/>
    <x v="2"/>
    <x v="180"/>
    <x v="1"/>
    <n v="7"/>
    <n v="3"/>
    <s v="Medical"/>
    <x v="0"/>
    <n v="262"/>
    <x v="2"/>
    <x v="1"/>
    <n v="37"/>
    <n v="4"/>
    <n v="1"/>
    <s v="Research Scientist"/>
    <x v="0"/>
    <s v="Divorced"/>
    <x v="189"/>
    <n v="5228"/>
    <n v="4"/>
    <x v="0"/>
    <x v="1"/>
    <n v="14"/>
    <n v="3"/>
    <n v="4"/>
    <n v="80"/>
    <n v="3"/>
    <n v="7"/>
    <n v="3"/>
    <n v="4"/>
    <n v="5"/>
    <n v="4"/>
    <n v="2"/>
    <n v="2"/>
  </r>
  <r>
    <x v="28"/>
    <x v="1"/>
    <x v="2"/>
    <x v="66"/>
    <x v="1"/>
    <n v="2"/>
    <n v="2"/>
    <s v="Medical"/>
    <x v="0"/>
    <n v="264"/>
    <x v="3"/>
    <x v="1"/>
    <n v="65"/>
    <n v="2"/>
    <n v="4"/>
    <s v="Manager"/>
    <x v="0"/>
    <s v="Married"/>
    <x v="190"/>
    <n v="20462"/>
    <n v="9"/>
    <x v="0"/>
    <x v="1"/>
    <n v="23"/>
    <n v="4"/>
    <n v="4"/>
    <n v="80"/>
    <n v="1"/>
    <n v="22"/>
    <n v="1"/>
    <n v="3"/>
    <n v="20"/>
    <n v="8"/>
    <n v="11"/>
    <n v="8"/>
  </r>
  <r>
    <x v="2"/>
    <x v="1"/>
    <x v="0"/>
    <x v="181"/>
    <x v="1"/>
    <n v="21"/>
    <n v="3"/>
    <s v="Life Sciences"/>
    <x v="0"/>
    <n v="267"/>
    <x v="0"/>
    <x v="1"/>
    <n v="65"/>
    <n v="4"/>
    <n v="1"/>
    <s v="Research Scientist"/>
    <x v="3"/>
    <s v="Married"/>
    <x v="191"/>
    <n v="22977"/>
    <n v="1"/>
    <x v="0"/>
    <x v="0"/>
    <n v="12"/>
    <n v="3"/>
    <n v="1"/>
    <n v="80"/>
    <n v="1"/>
    <n v="8"/>
    <n v="3"/>
    <n v="2"/>
    <n v="8"/>
    <n v="7"/>
    <n v="1"/>
    <n v="7"/>
  </r>
  <r>
    <x v="10"/>
    <x v="1"/>
    <x v="1"/>
    <x v="182"/>
    <x v="1"/>
    <n v="2"/>
    <n v="3"/>
    <s v="Medical"/>
    <x v="0"/>
    <n v="269"/>
    <x v="0"/>
    <x v="0"/>
    <n v="37"/>
    <n v="3"/>
    <n v="2"/>
    <s v="Laboratory Technician"/>
    <x v="1"/>
    <s v="Single"/>
    <x v="192"/>
    <n v="15986"/>
    <n v="5"/>
    <x v="0"/>
    <x v="1"/>
    <n v="11"/>
    <n v="3"/>
    <n v="4"/>
    <n v="80"/>
    <n v="0"/>
    <n v="10"/>
    <n v="5"/>
    <n v="3"/>
    <n v="6"/>
    <n v="2"/>
    <n v="1"/>
    <n v="2"/>
  </r>
  <r>
    <x v="19"/>
    <x v="1"/>
    <x v="2"/>
    <x v="183"/>
    <x v="1"/>
    <n v="21"/>
    <n v="2"/>
    <s v="Medical"/>
    <x v="0"/>
    <n v="270"/>
    <x v="1"/>
    <x v="0"/>
    <n v="36"/>
    <n v="3"/>
    <n v="2"/>
    <s v="Manufacturing Director"/>
    <x v="2"/>
    <s v="Divorced"/>
    <x v="193"/>
    <n v="16439"/>
    <n v="2"/>
    <x v="0"/>
    <x v="1"/>
    <n v="16"/>
    <n v="3"/>
    <n v="2"/>
    <n v="80"/>
    <n v="1"/>
    <n v="11"/>
    <n v="5"/>
    <n v="3"/>
    <n v="5"/>
    <n v="3"/>
    <n v="0"/>
    <n v="2"/>
  </r>
  <r>
    <x v="8"/>
    <x v="1"/>
    <x v="0"/>
    <x v="184"/>
    <x v="1"/>
    <n v="2"/>
    <n v="4"/>
    <s v="Life Sciences"/>
    <x v="0"/>
    <n v="271"/>
    <x v="2"/>
    <x v="1"/>
    <n v="88"/>
    <n v="3"/>
    <n v="2"/>
    <s v="Manufacturing Director"/>
    <x v="2"/>
    <s v="Married"/>
    <x v="194"/>
    <n v="7259"/>
    <n v="9"/>
    <x v="0"/>
    <x v="1"/>
    <n v="14"/>
    <n v="3"/>
    <n v="2"/>
    <n v="80"/>
    <n v="0"/>
    <n v="14"/>
    <n v="3"/>
    <n v="3"/>
    <n v="1"/>
    <n v="0"/>
    <n v="0"/>
    <n v="0"/>
  </r>
  <r>
    <x v="8"/>
    <x v="1"/>
    <x v="0"/>
    <x v="173"/>
    <x v="1"/>
    <n v="29"/>
    <n v="3"/>
    <s v="Technical Degree"/>
    <x v="0"/>
    <n v="273"/>
    <x v="2"/>
    <x v="1"/>
    <n v="54"/>
    <n v="3"/>
    <n v="2"/>
    <s v="Manufacturing Director"/>
    <x v="0"/>
    <s v="Married"/>
    <x v="195"/>
    <n v="4185"/>
    <n v="3"/>
    <x v="0"/>
    <x v="1"/>
    <n v="18"/>
    <n v="3"/>
    <n v="1"/>
    <n v="80"/>
    <n v="1"/>
    <n v="9"/>
    <n v="3"/>
    <n v="1"/>
    <n v="7"/>
    <n v="7"/>
    <n v="1"/>
    <n v="7"/>
  </r>
  <r>
    <x v="4"/>
    <x v="1"/>
    <x v="1"/>
    <x v="185"/>
    <x v="1"/>
    <n v="1"/>
    <n v="1"/>
    <s v="Technical Degree"/>
    <x v="0"/>
    <n v="274"/>
    <x v="1"/>
    <x v="1"/>
    <n v="60"/>
    <n v="2"/>
    <n v="2"/>
    <s v="Manufacturing Director"/>
    <x v="3"/>
    <s v="Married"/>
    <x v="196"/>
    <n v="9679"/>
    <n v="5"/>
    <x v="0"/>
    <x v="1"/>
    <n v="19"/>
    <n v="3"/>
    <n v="3"/>
    <n v="80"/>
    <n v="1"/>
    <n v="6"/>
    <n v="1"/>
    <n v="3"/>
    <n v="2"/>
    <n v="2"/>
    <n v="2"/>
    <n v="0"/>
  </r>
  <r>
    <x v="1"/>
    <x v="1"/>
    <x v="2"/>
    <x v="186"/>
    <x v="1"/>
    <n v="18"/>
    <n v="4"/>
    <s v="Life Sciences"/>
    <x v="0"/>
    <n v="275"/>
    <x v="2"/>
    <x v="1"/>
    <n v="92"/>
    <n v="3"/>
    <n v="2"/>
    <s v="Manufacturing Director"/>
    <x v="0"/>
    <s v="Divorced"/>
    <x v="197"/>
    <n v="23793"/>
    <n v="1"/>
    <x v="0"/>
    <x v="0"/>
    <n v="15"/>
    <n v="3"/>
    <n v="1"/>
    <n v="80"/>
    <n v="2"/>
    <n v="7"/>
    <n v="0"/>
    <n v="3"/>
    <n v="7"/>
    <n v="7"/>
    <n v="1"/>
    <n v="7"/>
  </r>
  <r>
    <x v="13"/>
    <x v="1"/>
    <x v="1"/>
    <x v="187"/>
    <x v="1"/>
    <n v="10"/>
    <n v="4"/>
    <s v="Medical"/>
    <x v="0"/>
    <n v="277"/>
    <x v="2"/>
    <x v="1"/>
    <n v="43"/>
    <n v="3"/>
    <n v="1"/>
    <s v="Research Scientist"/>
    <x v="2"/>
    <s v="Divorced"/>
    <x v="198"/>
    <n v="5972"/>
    <n v="1"/>
    <x v="0"/>
    <x v="0"/>
    <n v="17"/>
    <n v="3"/>
    <n v="4"/>
    <n v="80"/>
    <n v="1"/>
    <n v="5"/>
    <n v="4"/>
    <n v="4"/>
    <n v="5"/>
    <n v="3"/>
    <n v="2"/>
    <n v="0"/>
  </r>
  <r>
    <x v="32"/>
    <x v="1"/>
    <x v="0"/>
    <x v="188"/>
    <x v="1"/>
    <n v="19"/>
    <n v="2"/>
    <s v="Medical"/>
    <x v="0"/>
    <n v="281"/>
    <x v="1"/>
    <x v="1"/>
    <n v="99"/>
    <n v="3"/>
    <n v="2"/>
    <s v="Laboratory Technician"/>
    <x v="0"/>
    <s v="Married"/>
    <x v="199"/>
    <n v="16523"/>
    <n v="8"/>
    <x v="0"/>
    <x v="0"/>
    <n v="15"/>
    <n v="3"/>
    <n v="3"/>
    <n v="80"/>
    <n v="1"/>
    <n v="15"/>
    <n v="2"/>
    <n v="4"/>
    <n v="7"/>
    <n v="2"/>
    <n v="3"/>
    <n v="7"/>
  </r>
  <r>
    <x v="8"/>
    <x v="0"/>
    <x v="0"/>
    <x v="189"/>
    <x v="1"/>
    <n v="29"/>
    <n v="1"/>
    <s v="Medical"/>
    <x v="0"/>
    <n v="282"/>
    <x v="0"/>
    <x v="1"/>
    <n v="70"/>
    <n v="3"/>
    <n v="2"/>
    <s v="Healthcare Representative"/>
    <x v="3"/>
    <s v="Married"/>
    <x v="200"/>
    <n v="11354"/>
    <n v="7"/>
    <x v="0"/>
    <x v="0"/>
    <n v="19"/>
    <n v="3"/>
    <n v="2"/>
    <n v="80"/>
    <n v="0"/>
    <n v="17"/>
    <n v="2"/>
    <n v="3"/>
    <n v="1"/>
    <n v="0"/>
    <n v="0"/>
    <n v="0"/>
  </r>
  <r>
    <x v="11"/>
    <x v="0"/>
    <x v="0"/>
    <x v="190"/>
    <x v="0"/>
    <n v="27"/>
    <n v="3"/>
    <s v="Marketing"/>
    <x v="0"/>
    <n v="283"/>
    <x v="0"/>
    <x v="0"/>
    <n v="35"/>
    <n v="3"/>
    <n v="3"/>
    <s v="Sales Executive"/>
    <x v="0"/>
    <s v="Married"/>
    <x v="201"/>
    <n v="24525"/>
    <n v="1"/>
    <x v="0"/>
    <x v="1"/>
    <n v="22"/>
    <n v="4"/>
    <n v="4"/>
    <n v="80"/>
    <n v="3"/>
    <n v="10"/>
    <n v="3"/>
    <n v="2"/>
    <n v="10"/>
    <n v="4"/>
    <n v="1"/>
    <n v="9"/>
  </r>
  <r>
    <x v="15"/>
    <x v="1"/>
    <x v="0"/>
    <x v="191"/>
    <x v="1"/>
    <n v="5"/>
    <n v="3"/>
    <s v="Life Sciences"/>
    <x v="0"/>
    <n v="284"/>
    <x v="2"/>
    <x v="1"/>
    <n v="60"/>
    <n v="4"/>
    <n v="1"/>
    <s v="Research Scientist"/>
    <x v="1"/>
    <s v="Divorced"/>
    <x v="202"/>
    <n v="12392"/>
    <n v="1"/>
    <x v="0"/>
    <x v="0"/>
    <n v="16"/>
    <n v="3"/>
    <n v="1"/>
    <n v="80"/>
    <n v="1"/>
    <n v="4"/>
    <n v="2"/>
    <n v="2"/>
    <n v="4"/>
    <n v="2"/>
    <n v="2"/>
    <n v="2"/>
  </r>
  <r>
    <x v="9"/>
    <x v="1"/>
    <x v="1"/>
    <x v="192"/>
    <x v="1"/>
    <n v="18"/>
    <n v="1"/>
    <s v="Medical"/>
    <x v="0"/>
    <n v="286"/>
    <x v="0"/>
    <x v="0"/>
    <n v="73"/>
    <n v="3"/>
    <n v="1"/>
    <s v="Laboratory Technician"/>
    <x v="0"/>
    <s v="Single"/>
    <x v="203"/>
    <n v="7703"/>
    <n v="1"/>
    <x v="0"/>
    <x v="1"/>
    <n v="13"/>
    <n v="3"/>
    <n v="1"/>
    <n v="80"/>
    <n v="0"/>
    <n v="8"/>
    <n v="2"/>
    <n v="3"/>
    <n v="8"/>
    <n v="1"/>
    <n v="1"/>
    <n v="7"/>
  </r>
  <r>
    <x v="32"/>
    <x v="1"/>
    <x v="2"/>
    <x v="193"/>
    <x v="1"/>
    <n v="9"/>
    <n v="5"/>
    <s v="Life Sciences"/>
    <x v="0"/>
    <n v="287"/>
    <x v="2"/>
    <x v="1"/>
    <n v="63"/>
    <n v="2"/>
    <n v="2"/>
    <s v="Healthcare Representative"/>
    <x v="0"/>
    <s v="Married"/>
    <x v="204"/>
    <n v="14242"/>
    <n v="9"/>
    <x v="0"/>
    <x v="1"/>
    <n v="14"/>
    <n v="3"/>
    <n v="4"/>
    <n v="80"/>
    <n v="1"/>
    <n v="5"/>
    <n v="5"/>
    <n v="1"/>
    <n v="3"/>
    <n v="2"/>
    <n v="0"/>
    <n v="2"/>
  </r>
  <r>
    <x v="21"/>
    <x v="1"/>
    <x v="0"/>
    <x v="194"/>
    <x v="1"/>
    <n v="1"/>
    <n v="4"/>
    <s v="Medical"/>
    <x v="0"/>
    <n v="288"/>
    <x v="2"/>
    <x v="1"/>
    <n v="97"/>
    <n v="3"/>
    <n v="3"/>
    <s v="Healthcare Representative"/>
    <x v="3"/>
    <s v="Divorced"/>
    <x v="205"/>
    <n v="12368"/>
    <n v="7"/>
    <x v="0"/>
    <x v="1"/>
    <n v="16"/>
    <n v="3"/>
    <n v="3"/>
    <n v="80"/>
    <n v="1"/>
    <n v="17"/>
    <n v="3"/>
    <n v="3"/>
    <n v="4"/>
    <n v="2"/>
    <n v="0"/>
    <n v="3"/>
  </r>
  <r>
    <x v="5"/>
    <x v="0"/>
    <x v="0"/>
    <x v="195"/>
    <x v="0"/>
    <n v="4"/>
    <n v="4"/>
    <s v="Medical"/>
    <x v="0"/>
    <n v="291"/>
    <x v="2"/>
    <x v="1"/>
    <n v="32"/>
    <n v="1"/>
    <n v="3"/>
    <s v="Sales Executive"/>
    <x v="0"/>
    <s v="Married"/>
    <x v="206"/>
    <n v="25812"/>
    <n v="1"/>
    <x v="0"/>
    <x v="1"/>
    <n v="11"/>
    <n v="3"/>
    <n v="3"/>
    <n v="80"/>
    <n v="0"/>
    <n v="14"/>
    <n v="2"/>
    <n v="2"/>
    <n v="14"/>
    <n v="8"/>
    <n v="9"/>
    <n v="8"/>
  </r>
  <r>
    <x v="7"/>
    <x v="1"/>
    <x v="2"/>
    <x v="196"/>
    <x v="1"/>
    <n v="1"/>
    <n v="1"/>
    <s v="Life Sciences"/>
    <x v="0"/>
    <n v="292"/>
    <x v="1"/>
    <x v="1"/>
    <n v="88"/>
    <n v="2"/>
    <n v="3"/>
    <s v="Manufacturing Director"/>
    <x v="2"/>
    <s v="Single"/>
    <x v="207"/>
    <n v="20925"/>
    <n v="1"/>
    <x v="0"/>
    <x v="1"/>
    <n v="22"/>
    <n v="4"/>
    <n v="3"/>
    <n v="80"/>
    <n v="0"/>
    <n v="12"/>
    <n v="2"/>
    <n v="3"/>
    <n v="11"/>
    <n v="8"/>
    <n v="5"/>
    <n v="8"/>
  </r>
  <r>
    <x v="4"/>
    <x v="1"/>
    <x v="1"/>
    <x v="197"/>
    <x v="0"/>
    <n v="20"/>
    <n v="3"/>
    <s v="Life Sciences"/>
    <x v="0"/>
    <n v="293"/>
    <x v="2"/>
    <x v="0"/>
    <n v="90"/>
    <n v="3"/>
    <n v="2"/>
    <s v="Sales Executive"/>
    <x v="2"/>
    <s v="Single"/>
    <x v="208"/>
    <n v="12916"/>
    <n v="1"/>
    <x v="0"/>
    <x v="1"/>
    <n v="14"/>
    <n v="3"/>
    <n v="4"/>
    <n v="80"/>
    <n v="0"/>
    <n v="7"/>
    <n v="2"/>
    <n v="3"/>
    <n v="7"/>
    <n v="7"/>
    <n v="0"/>
    <n v="7"/>
  </r>
  <r>
    <x v="31"/>
    <x v="1"/>
    <x v="0"/>
    <x v="198"/>
    <x v="1"/>
    <n v="8"/>
    <n v="4"/>
    <s v="Life Sciences"/>
    <x v="0"/>
    <n v="296"/>
    <x v="0"/>
    <x v="1"/>
    <n v="81"/>
    <n v="2"/>
    <n v="3"/>
    <s v="Research Director"/>
    <x v="1"/>
    <s v="Married"/>
    <x v="209"/>
    <n v="15736"/>
    <n v="5"/>
    <x v="0"/>
    <x v="1"/>
    <n v="16"/>
    <n v="3"/>
    <n v="4"/>
    <n v="80"/>
    <n v="2"/>
    <n v="16"/>
    <n v="5"/>
    <n v="1"/>
    <n v="10"/>
    <n v="9"/>
    <n v="4"/>
    <n v="7"/>
  </r>
  <r>
    <x v="7"/>
    <x v="0"/>
    <x v="0"/>
    <x v="5"/>
    <x v="1"/>
    <n v="3"/>
    <n v="3"/>
    <s v="Technical Degree"/>
    <x v="0"/>
    <n v="297"/>
    <x v="2"/>
    <x v="0"/>
    <n v="88"/>
    <n v="3"/>
    <n v="1"/>
    <s v="Research Scientist"/>
    <x v="3"/>
    <s v="Single"/>
    <x v="210"/>
    <n v="8556"/>
    <n v="5"/>
    <x v="0"/>
    <x v="0"/>
    <n v="11"/>
    <n v="3"/>
    <n v="3"/>
    <n v="80"/>
    <n v="0"/>
    <n v="8"/>
    <n v="5"/>
    <n v="3"/>
    <n v="5"/>
    <n v="2"/>
    <n v="0"/>
    <n v="4"/>
  </r>
  <r>
    <x v="0"/>
    <x v="1"/>
    <x v="0"/>
    <x v="199"/>
    <x v="0"/>
    <n v="6"/>
    <n v="3"/>
    <s v="Life Sciences"/>
    <x v="0"/>
    <n v="298"/>
    <x v="2"/>
    <x v="0"/>
    <n v="75"/>
    <n v="3"/>
    <n v="3"/>
    <s v="Manager"/>
    <x v="0"/>
    <s v="Single"/>
    <x v="211"/>
    <n v="14674"/>
    <n v="3"/>
    <x v="0"/>
    <x v="0"/>
    <n v="18"/>
    <n v="3"/>
    <n v="3"/>
    <n v="80"/>
    <n v="0"/>
    <n v="16"/>
    <n v="3"/>
    <n v="3"/>
    <n v="1"/>
    <n v="0"/>
    <n v="0"/>
    <n v="0"/>
  </r>
  <r>
    <x v="7"/>
    <x v="0"/>
    <x v="1"/>
    <x v="16"/>
    <x v="0"/>
    <n v="26"/>
    <n v="4"/>
    <s v="Marketing"/>
    <x v="0"/>
    <n v="299"/>
    <x v="1"/>
    <x v="0"/>
    <n v="52"/>
    <n v="2"/>
    <n v="2"/>
    <s v="Sales Executive"/>
    <x v="3"/>
    <s v="Single"/>
    <x v="212"/>
    <n v="22967"/>
    <n v="5"/>
    <x v="0"/>
    <x v="1"/>
    <n v="15"/>
    <n v="3"/>
    <n v="3"/>
    <n v="80"/>
    <n v="0"/>
    <n v="9"/>
    <n v="5"/>
    <n v="2"/>
    <n v="6"/>
    <n v="3"/>
    <n v="0"/>
    <n v="1"/>
  </r>
  <r>
    <x v="11"/>
    <x v="0"/>
    <x v="0"/>
    <x v="200"/>
    <x v="1"/>
    <n v="1"/>
    <n v="3"/>
    <s v="Technical Degree"/>
    <x v="0"/>
    <n v="300"/>
    <x v="1"/>
    <x v="1"/>
    <n v="85"/>
    <n v="3"/>
    <n v="1"/>
    <s v="Research Scientist"/>
    <x v="2"/>
    <s v="Single"/>
    <x v="213"/>
    <n v="19757"/>
    <n v="0"/>
    <x v="0"/>
    <x v="1"/>
    <n v="14"/>
    <n v="3"/>
    <n v="4"/>
    <n v="80"/>
    <n v="0"/>
    <n v="7"/>
    <n v="1"/>
    <n v="2"/>
    <n v="6"/>
    <n v="2"/>
    <n v="1"/>
    <n v="5"/>
  </r>
  <r>
    <x v="28"/>
    <x v="1"/>
    <x v="2"/>
    <x v="201"/>
    <x v="0"/>
    <n v="6"/>
    <n v="3"/>
    <s v="Medical"/>
    <x v="0"/>
    <n v="302"/>
    <x v="2"/>
    <x v="0"/>
    <n v="57"/>
    <n v="2"/>
    <n v="3"/>
    <s v="Sales Executive"/>
    <x v="0"/>
    <s v="Single"/>
    <x v="214"/>
    <n v="16840"/>
    <n v="6"/>
    <x v="0"/>
    <x v="1"/>
    <n v="12"/>
    <n v="3"/>
    <n v="4"/>
    <n v="80"/>
    <n v="0"/>
    <n v="23"/>
    <n v="2"/>
    <n v="3"/>
    <n v="19"/>
    <n v="7"/>
    <n v="12"/>
    <n v="8"/>
  </r>
  <r>
    <x v="33"/>
    <x v="1"/>
    <x v="0"/>
    <x v="202"/>
    <x v="0"/>
    <n v="3"/>
    <n v="3"/>
    <s v="Marketing"/>
    <x v="0"/>
    <n v="303"/>
    <x v="2"/>
    <x v="0"/>
    <n v="52"/>
    <n v="3"/>
    <n v="2"/>
    <s v="Sales Executive"/>
    <x v="3"/>
    <s v="Married"/>
    <x v="215"/>
    <n v="17011"/>
    <n v="2"/>
    <x v="0"/>
    <x v="1"/>
    <n v="14"/>
    <n v="3"/>
    <n v="4"/>
    <n v="80"/>
    <n v="1"/>
    <n v="16"/>
    <n v="4"/>
    <n v="3"/>
    <n v="6"/>
    <n v="2"/>
    <n v="0"/>
    <n v="5"/>
  </r>
  <r>
    <x v="9"/>
    <x v="1"/>
    <x v="0"/>
    <x v="203"/>
    <x v="1"/>
    <n v="5"/>
    <n v="2"/>
    <s v="Life Sciences"/>
    <x v="0"/>
    <n v="304"/>
    <x v="2"/>
    <x v="1"/>
    <n v="62"/>
    <n v="3"/>
    <n v="2"/>
    <s v="Laboratory Technician"/>
    <x v="1"/>
    <s v="Single"/>
    <x v="216"/>
    <n v="9945"/>
    <n v="8"/>
    <x v="0"/>
    <x v="1"/>
    <n v="16"/>
    <n v="3"/>
    <n v="4"/>
    <n v="80"/>
    <n v="0"/>
    <n v="16"/>
    <n v="3"/>
    <n v="4"/>
    <n v="13"/>
    <n v="11"/>
    <n v="3"/>
    <n v="7"/>
  </r>
  <r>
    <x v="3"/>
    <x v="1"/>
    <x v="0"/>
    <x v="124"/>
    <x v="1"/>
    <n v="4"/>
    <n v="4"/>
    <s v="Medical"/>
    <x v="0"/>
    <n v="305"/>
    <x v="1"/>
    <x v="0"/>
    <n v="47"/>
    <n v="2"/>
    <n v="1"/>
    <s v="Research Scientist"/>
    <x v="1"/>
    <s v="Married"/>
    <x v="217"/>
    <n v="13248"/>
    <n v="6"/>
    <x v="0"/>
    <x v="1"/>
    <n v="21"/>
    <n v="4"/>
    <n v="4"/>
    <n v="80"/>
    <n v="0"/>
    <n v="7"/>
    <n v="3"/>
    <n v="3"/>
    <n v="3"/>
    <n v="2"/>
    <n v="1"/>
    <n v="1"/>
  </r>
  <r>
    <x v="2"/>
    <x v="1"/>
    <x v="1"/>
    <x v="204"/>
    <x v="1"/>
    <n v="11"/>
    <n v="3"/>
    <s v="Other"/>
    <x v="0"/>
    <n v="306"/>
    <x v="0"/>
    <x v="1"/>
    <n v="47"/>
    <n v="3"/>
    <n v="3"/>
    <s v="Research Director"/>
    <x v="0"/>
    <s v="Divorced"/>
    <x v="218"/>
    <n v="10056"/>
    <n v="1"/>
    <x v="0"/>
    <x v="0"/>
    <n v="14"/>
    <n v="3"/>
    <n v="3"/>
    <n v="80"/>
    <n v="3"/>
    <n v="10"/>
    <n v="1"/>
    <n v="3"/>
    <n v="10"/>
    <n v="8"/>
    <n v="0"/>
    <n v="7"/>
  </r>
  <r>
    <x v="8"/>
    <x v="1"/>
    <x v="0"/>
    <x v="205"/>
    <x v="0"/>
    <n v="3"/>
    <n v="3"/>
    <s v="Life Sciences"/>
    <x v="0"/>
    <n v="307"/>
    <x v="3"/>
    <x v="1"/>
    <n v="76"/>
    <n v="3"/>
    <n v="3"/>
    <s v="Sales Executive"/>
    <x v="2"/>
    <s v="Divorced"/>
    <x v="219"/>
    <n v="9647"/>
    <n v="0"/>
    <x v="0"/>
    <x v="1"/>
    <n v="12"/>
    <n v="3"/>
    <n v="3"/>
    <n v="80"/>
    <n v="2"/>
    <n v="17"/>
    <n v="6"/>
    <n v="2"/>
    <n v="16"/>
    <n v="10"/>
    <n v="5"/>
    <n v="13"/>
  </r>
  <r>
    <x v="12"/>
    <x v="1"/>
    <x v="2"/>
    <x v="206"/>
    <x v="1"/>
    <n v="1"/>
    <n v="4"/>
    <s v="Medical"/>
    <x v="0"/>
    <n v="308"/>
    <x v="1"/>
    <x v="1"/>
    <n v="90"/>
    <n v="1"/>
    <n v="2"/>
    <s v="Manufacturing Director"/>
    <x v="2"/>
    <s v="Married"/>
    <x v="220"/>
    <n v="4381"/>
    <n v="0"/>
    <x v="0"/>
    <x v="1"/>
    <n v="12"/>
    <n v="3"/>
    <n v="4"/>
    <n v="80"/>
    <n v="1"/>
    <n v="6"/>
    <n v="2"/>
    <n v="3"/>
    <n v="5"/>
    <n v="4"/>
    <n v="1"/>
    <n v="4"/>
  </r>
  <r>
    <x v="6"/>
    <x v="1"/>
    <x v="0"/>
    <x v="110"/>
    <x v="1"/>
    <n v="3"/>
    <n v="3"/>
    <s v="Life Sciences"/>
    <x v="0"/>
    <n v="309"/>
    <x v="1"/>
    <x v="1"/>
    <n v="70"/>
    <n v="2"/>
    <n v="1"/>
    <s v="Research Scientist"/>
    <x v="0"/>
    <s v="Married"/>
    <x v="221"/>
    <n v="8456"/>
    <n v="3"/>
    <x v="0"/>
    <x v="1"/>
    <n v="17"/>
    <n v="3"/>
    <n v="1"/>
    <n v="80"/>
    <n v="1"/>
    <n v="7"/>
    <n v="6"/>
    <n v="3"/>
    <n v="1"/>
    <n v="0"/>
    <n v="0"/>
    <n v="0"/>
  </r>
  <r>
    <x v="2"/>
    <x v="1"/>
    <x v="1"/>
    <x v="207"/>
    <x v="0"/>
    <n v="4"/>
    <n v="4"/>
    <s v="Marketing"/>
    <x v="0"/>
    <n v="311"/>
    <x v="3"/>
    <x v="1"/>
    <n v="41"/>
    <n v="3"/>
    <n v="1"/>
    <s v="Sales Representative"/>
    <x v="0"/>
    <s v="Divorced"/>
    <x v="222"/>
    <n v="2539"/>
    <n v="4"/>
    <x v="0"/>
    <x v="1"/>
    <n v="17"/>
    <n v="3"/>
    <n v="3"/>
    <n v="80"/>
    <n v="1"/>
    <n v="13"/>
    <n v="2"/>
    <n v="3"/>
    <n v="9"/>
    <n v="8"/>
    <n v="5"/>
    <n v="8"/>
  </r>
  <r>
    <x v="11"/>
    <x v="1"/>
    <x v="1"/>
    <x v="208"/>
    <x v="0"/>
    <n v="1"/>
    <n v="1"/>
    <s v="Medical"/>
    <x v="0"/>
    <n v="312"/>
    <x v="0"/>
    <x v="0"/>
    <n v="42"/>
    <n v="3"/>
    <n v="3"/>
    <s v="Sales Executive"/>
    <x v="0"/>
    <s v="Married"/>
    <x v="223"/>
    <n v="6599"/>
    <n v="1"/>
    <x v="0"/>
    <x v="1"/>
    <n v="14"/>
    <n v="3"/>
    <n v="4"/>
    <n v="80"/>
    <n v="1"/>
    <n v="11"/>
    <n v="5"/>
    <n v="3"/>
    <n v="11"/>
    <n v="10"/>
    <n v="4"/>
    <n v="1"/>
  </r>
  <r>
    <x v="10"/>
    <x v="1"/>
    <x v="1"/>
    <x v="209"/>
    <x v="0"/>
    <n v="1"/>
    <n v="3"/>
    <s v="Marketing"/>
    <x v="0"/>
    <n v="314"/>
    <x v="1"/>
    <x v="0"/>
    <n v="92"/>
    <n v="3"/>
    <n v="3"/>
    <s v="Sales Executive"/>
    <x v="2"/>
    <s v="Single"/>
    <x v="224"/>
    <n v="9096"/>
    <n v="1"/>
    <x v="0"/>
    <x v="1"/>
    <n v="14"/>
    <n v="3"/>
    <n v="1"/>
    <n v="80"/>
    <n v="0"/>
    <n v="10"/>
    <n v="3"/>
    <n v="4"/>
    <n v="10"/>
    <n v="7"/>
    <n v="0"/>
    <n v="8"/>
  </r>
  <r>
    <x v="11"/>
    <x v="0"/>
    <x v="0"/>
    <x v="199"/>
    <x v="1"/>
    <n v="18"/>
    <n v="1"/>
    <s v="Medical"/>
    <x v="0"/>
    <n v="315"/>
    <x v="1"/>
    <x v="1"/>
    <n v="86"/>
    <n v="2"/>
    <n v="1"/>
    <s v="Research Scientist"/>
    <x v="0"/>
    <s v="Single"/>
    <x v="225"/>
    <n v="14961"/>
    <n v="1"/>
    <x v="0"/>
    <x v="0"/>
    <n v="13"/>
    <n v="3"/>
    <n v="3"/>
    <n v="80"/>
    <n v="0"/>
    <n v="4"/>
    <n v="3"/>
    <n v="2"/>
    <n v="4"/>
    <n v="3"/>
    <n v="0"/>
    <n v="1"/>
  </r>
  <r>
    <x v="39"/>
    <x v="1"/>
    <x v="0"/>
    <x v="210"/>
    <x v="1"/>
    <n v="2"/>
    <n v="3"/>
    <s v="Life Sciences"/>
    <x v="0"/>
    <n v="316"/>
    <x v="1"/>
    <x v="0"/>
    <n v="89"/>
    <n v="2"/>
    <n v="1"/>
    <s v="Laboratory Technician"/>
    <x v="0"/>
    <s v="Single"/>
    <x v="226"/>
    <n v="3300"/>
    <n v="7"/>
    <x v="0"/>
    <x v="1"/>
    <n v="15"/>
    <n v="3"/>
    <n v="2"/>
    <n v="80"/>
    <n v="0"/>
    <n v="6"/>
    <n v="3"/>
    <n v="2"/>
    <n v="2"/>
    <n v="2"/>
    <n v="2"/>
    <n v="2"/>
  </r>
  <r>
    <x v="19"/>
    <x v="1"/>
    <x v="0"/>
    <x v="211"/>
    <x v="1"/>
    <n v="4"/>
    <n v="2"/>
    <s v="Technical Degree"/>
    <x v="0"/>
    <n v="319"/>
    <x v="1"/>
    <x v="1"/>
    <n v="58"/>
    <n v="3"/>
    <n v="5"/>
    <s v="Manager"/>
    <x v="0"/>
    <s v="Married"/>
    <x v="227"/>
    <n v="4933"/>
    <n v="1"/>
    <x v="0"/>
    <x v="1"/>
    <n v="11"/>
    <n v="3"/>
    <n v="4"/>
    <n v="80"/>
    <n v="0"/>
    <n v="22"/>
    <n v="3"/>
    <n v="3"/>
    <n v="22"/>
    <n v="17"/>
    <n v="11"/>
    <n v="15"/>
  </r>
  <r>
    <x v="6"/>
    <x v="1"/>
    <x v="0"/>
    <x v="212"/>
    <x v="2"/>
    <n v="6"/>
    <n v="2"/>
    <s v="Medical"/>
    <x v="0"/>
    <n v="321"/>
    <x v="0"/>
    <x v="1"/>
    <n v="52"/>
    <n v="3"/>
    <n v="1"/>
    <s v="Human Resources"/>
    <x v="2"/>
    <s v="Married"/>
    <x v="228"/>
    <n v="25657"/>
    <n v="8"/>
    <x v="0"/>
    <x v="1"/>
    <n v="17"/>
    <n v="3"/>
    <n v="4"/>
    <n v="80"/>
    <n v="0"/>
    <n v="7"/>
    <n v="2"/>
    <n v="2"/>
    <n v="2"/>
    <n v="2"/>
    <n v="2"/>
    <n v="2"/>
  </r>
  <r>
    <x v="24"/>
    <x v="1"/>
    <x v="0"/>
    <x v="213"/>
    <x v="0"/>
    <n v="1"/>
    <n v="4"/>
    <s v="Medical"/>
    <x v="0"/>
    <n v="323"/>
    <x v="2"/>
    <x v="0"/>
    <n v="68"/>
    <n v="3"/>
    <n v="5"/>
    <s v="Manager"/>
    <x v="0"/>
    <s v="Divorced"/>
    <x v="229"/>
    <n v="24118"/>
    <n v="3"/>
    <x v="0"/>
    <x v="1"/>
    <n v="11"/>
    <n v="3"/>
    <n v="3"/>
    <n v="80"/>
    <n v="1"/>
    <n v="32"/>
    <n v="3"/>
    <n v="2"/>
    <n v="7"/>
    <n v="0"/>
    <n v="0"/>
    <n v="6"/>
  </r>
  <r>
    <x v="3"/>
    <x v="0"/>
    <x v="0"/>
    <x v="34"/>
    <x v="1"/>
    <n v="14"/>
    <n v="3"/>
    <s v="Medical"/>
    <x v="0"/>
    <n v="325"/>
    <x v="1"/>
    <x v="1"/>
    <n v="58"/>
    <n v="3"/>
    <n v="1"/>
    <s v="Laboratory Technician"/>
    <x v="0"/>
    <s v="Married"/>
    <x v="230"/>
    <n v="22149"/>
    <n v="5"/>
    <x v="0"/>
    <x v="0"/>
    <n v="13"/>
    <n v="3"/>
    <n v="3"/>
    <n v="80"/>
    <n v="1"/>
    <n v="8"/>
    <n v="2"/>
    <n v="1"/>
    <n v="5"/>
    <n v="4"/>
    <n v="0"/>
    <n v="4"/>
  </r>
  <r>
    <x v="23"/>
    <x v="1"/>
    <x v="0"/>
    <x v="214"/>
    <x v="0"/>
    <n v="16"/>
    <n v="3"/>
    <s v="Marketing"/>
    <x v="0"/>
    <n v="327"/>
    <x v="2"/>
    <x v="0"/>
    <n v="80"/>
    <n v="3"/>
    <n v="4"/>
    <s v="Manager"/>
    <x v="0"/>
    <s v="Married"/>
    <x v="231"/>
    <n v="7744"/>
    <n v="5"/>
    <x v="0"/>
    <x v="0"/>
    <n v="22"/>
    <n v="4"/>
    <n v="3"/>
    <n v="80"/>
    <n v="1"/>
    <n v="22"/>
    <n v="3"/>
    <n v="3"/>
    <n v="17"/>
    <n v="13"/>
    <n v="1"/>
    <n v="9"/>
  </r>
  <r>
    <x v="3"/>
    <x v="0"/>
    <x v="0"/>
    <x v="159"/>
    <x v="1"/>
    <n v="2"/>
    <n v="2"/>
    <s v="Life Sciences"/>
    <x v="0"/>
    <n v="328"/>
    <x v="3"/>
    <x v="0"/>
    <n v="39"/>
    <n v="3"/>
    <n v="1"/>
    <s v="Laboratory Technician"/>
    <x v="3"/>
    <s v="Married"/>
    <x v="232"/>
    <n v="21509"/>
    <n v="7"/>
    <x v="0"/>
    <x v="1"/>
    <n v="20"/>
    <n v="4"/>
    <n v="1"/>
    <n v="80"/>
    <n v="0"/>
    <n v="13"/>
    <n v="3"/>
    <n v="4"/>
    <n v="9"/>
    <n v="7"/>
    <n v="1"/>
    <n v="7"/>
  </r>
  <r>
    <x v="39"/>
    <x v="1"/>
    <x v="2"/>
    <x v="215"/>
    <x v="0"/>
    <n v="2"/>
    <n v="4"/>
    <s v="Life Sciences"/>
    <x v="0"/>
    <n v="329"/>
    <x v="3"/>
    <x v="1"/>
    <n v="79"/>
    <n v="2"/>
    <n v="5"/>
    <s v="Manager"/>
    <x v="2"/>
    <s v="Single"/>
    <x v="233"/>
    <n v="21030"/>
    <n v="1"/>
    <x v="0"/>
    <x v="0"/>
    <n v="18"/>
    <n v="3"/>
    <n v="4"/>
    <n v="80"/>
    <n v="0"/>
    <n v="33"/>
    <n v="2"/>
    <n v="4"/>
    <n v="33"/>
    <n v="7"/>
    <n v="15"/>
    <n v="12"/>
  </r>
  <r>
    <x v="5"/>
    <x v="1"/>
    <x v="0"/>
    <x v="216"/>
    <x v="0"/>
    <n v="4"/>
    <n v="2"/>
    <s v="Life Sciences"/>
    <x v="0"/>
    <n v="330"/>
    <x v="1"/>
    <x v="0"/>
    <n v="56"/>
    <n v="3"/>
    <n v="1"/>
    <s v="Sales Representative"/>
    <x v="1"/>
    <s v="Married"/>
    <x v="234"/>
    <n v="20990"/>
    <n v="2"/>
    <x v="0"/>
    <x v="1"/>
    <n v="11"/>
    <n v="3"/>
    <n v="1"/>
    <n v="80"/>
    <n v="1"/>
    <n v="6"/>
    <n v="5"/>
    <n v="3"/>
    <n v="4"/>
    <n v="3"/>
    <n v="1"/>
    <n v="2"/>
  </r>
  <r>
    <x v="5"/>
    <x v="0"/>
    <x v="0"/>
    <x v="55"/>
    <x v="1"/>
    <n v="1"/>
    <n v="3"/>
    <s v="Life Sciences"/>
    <x v="0"/>
    <n v="331"/>
    <x v="2"/>
    <x v="1"/>
    <n v="62"/>
    <n v="2"/>
    <n v="1"/>
    <s v="Laboratory Technician"/>
    <x v="2"/>
    <s v="Single"/>
    <x v="235"/>
    <n v="9571"/>
    <n v="0"/>
    <x v="0"/>
    <x v="0"/>
    <n v="14"/>
    <n v="3"/>
    <n v="4"/>
    <n v="80"/>
    <n v="0"/>
    <n v="4"/>
    <n v="2"/>
    <n v="1"/>
    <n v="3"/>
    <n v="2"/>
    <n v="1"/>
    <n v="2"/>
  </r>
  <r>
    <x v="22"/>
    <x v="1"/>
    <x v="0"/>
    <x v="217"/>
    <x v="1"/>
    <n v="1"/>
    <n v="4"/>
    <s v="Medical"/>
    <x v="0"/>
    <n v="332"/>
    <x v="1"/>
    <x v="0"/>
    <n v="96"/>
    <n v="3"/>
    <n v="1"/>
    <s v="Laboratory Technician"/>
    <x v="2"/>
    <s v="Divorced"/>
    <x v="236"/>
    <n v="15417"/>
    <n v="7"/>
    <x v="0"/>
    <x v="1"/>
    <n v="14"/>
    <n v="3"/>
    <n v="3"/>
    <n v="80"/>
    <n v="3"/>
    <n v="7"/>
    <n v="1"/>
    <n v="3"/>
    <n v="3"/>
    <n v="2"/>
    <n v="1"/>
    <n v="2"/>
  </r>
  <r>
    <x v="5"/>
    <x v="1"/>
    <x v="2"/>
    <x v="218"/>
    <x v="0"/>
    <n v="26"/>
    <n v="4"/>
    <s v="Marketing"/>
    <x v="0"/>
    <n v="333"/>
    <x v="1"/>
    <x v="1"/>
    <n v="100"/>
    <n v="3"/>
    <n v="2"/>
    <s v="Sales Executive"/>
    <x v="0"/>
    <s v="Married"/>
    <x v="237"/>
    <n v="12069"/>
    <n v="0"/>
    <x v="0"/>
    <x v="1"/>
    <n v="18"/>
    <n v="3"/>
    <n v="1"/>
    <n v="80"/>
    <n v="0"/>
    <n v="4"/>
    <n v="2"/>
    <n v="3"/>
    <n v="3"/>
    <n v="2"/>
    <n v="2"/>
    <n v="2"/>
  </r>
  <r>
    <x v="0"/>
    <x v="1"/>
    <x v="0"/>
    <x v="219"/>
    <x v="1"/>
    <n v="19"/>
    <n v="2"/>
    <s v="Life Sciences"/>
    <x v="0"/>
    <n v="334"/>
    <x v="1"/>
    <x v="1"/>
    <n v="36"/>
    <n v="3"/>
    <n v="2"/>
    <s v="Research Scientist"/>
    <x v="3"/>
    <s v="Divorced"/>
    <x v="169"/>
    <n v="19877"/>
    <n v="2"/>
    <x v="0"/>
    <x v="1"/>
    <n v="16"/>
    <n v="3"/>
    <n v="1"/>
    <n v="80"/>
    <n v="2"/>
    <n v="17"/>
    <n v="2"/>
    <n v="2"/>
    <n v="1"/>
    <n v="0"/>
    <n v="0"/>
    <n v="0"/>
  </r>
  <r>
    <x v="32"/>
    <x v="1"/>
    <x v="0"/>
    <x v="220"/>
    <x v="1"/>
    <n v="24"/>
    <n v="2"/>
    <s v="Technical Degree"/>
    <x v="0"/>
    <n v="335"/>
    <x v="3"/>
    <x v="1"/>
    <n v="62"/>
    <n v="3"/>
    <n v="2"/>
    <s v="Research Scientist"/>
    <x v="0"/>
    <s v="Divorced"/>
    <x v="238"/>
    <n v="24447"/>
    <n v="1"/>
    <x v="0"/>
    <x v="1"/>
    <n v="17"/>
    <n v="3"/>
    <n v="1"/>
    <n v="80"/>
    <n v="2"/>
    <n v="9"/>
    <n v="3"/>
    <n v="3"/>
    <n v="9"/>
    <n v="8"/>
    <n v="4"/>
    <n v="7"/>
  </r>
  <r>
    <x v="28"/>
    <x v="1"/>
    <x v="0"/>
    <x v="221"/>
    <x v="1"/>
    <n v="1"/>
    <n v="3"/>
    <s v="Other"/>
    <x v="0"/>
    <n v="336"/>
    <x v="1"/>
    <x v="1"/>
    <n v="70"/>
    <n v="4"/>
    <n v="5"/>
    <s v="Manager"/>
    <x v="0"/>
    <s v="Married"/>
    <x v="239"/>
    <n v="15970"/>
    <n v="0"/>
    <x v="0"/>
    <x v="1"/>
    <n v="11"/>
    <n v="3"/>
    <n v="3"/>
    <n v="80"/>
    <n v="1"/>
    <n v="25"/>
    <n v="2"/>
    <n v="3"/>
    <n v="24"/>
    <n v="0"/>
    <n v="1"/>
    <n v="7"/>
  </r>
  <r>
    <x v="12"/>
    <x v="1"/>
    <x v="1"/>
    <x v="222"/>
    <x v="1"/>
    <n v="3"/>
    <n v="4"/>
    <s v="Medical"/>
    <x v="0"/>
    <n v="337"/>
    <x v="0"/>
    <x v="1"/>
    <n v="73"/>
    <n v="3"/>
    <n v="3"/>
    <s v="Research Director"/>
    <x v="2"/>
    <s v="Divorced"/>
    <x v="240"/>
    <n v="13523"/>
    <n v="9"/>
    <x v="0"/>
    <x v="1"/>
    <n v="12"/>
    <n v="3"/>
    <n v="1"/>
    <n v="80"/>
    <n v="1"/>
    <n v="9"/>
    <n v="3"/>
    <n v="3"/>
    <n v="2"/>
    <n v="2"/>
    <n v="2"/>
    <n v="2"/>
  </r>
  <r>
    <x v="3"/>
    <x v="1"/>
    <x v="0"/>
    <x v="223"/>
    <x v="1"/>
    <n v="5"/>
    <n v="4"/>
    <s v="Life Sciences"/>
    <x v="0"/>
    <n v="338"/>
    <x v="1"/>
    <x v="0"/>
    <n v="63"/>
    <n v="2"/>
    <n v="1"/>
    <s v="Research Scientist"/>
    <x v="0"/>
    <s v="Married"/>
    <x v="12"/>
    <n v="14776"/>
    <n v="1"/>
    <x v="0"/>
    <x v="1"/>
    <n v="13"/>
    <n v="3"/>
    <n v="3"/>
    <n v="80"/>
    <n v="1"/>
    <n v="2"/>
    <n v="2"/>
    <n v="2"/>
    <n v="2"/>
    <n v="2"/>
    <n v="0"/>
    <n v="2"/>
  </r>
  <r>
    <x v="13"/>
    <x v="1"/>
    <x v="0"/>
    <x v="127"/>
    <x v="1"/>
    <n v="2"/>
    <n v="4"/>
    <s v="Life Sciences"/>
    <x v="0"/>
    <n v="339"/>
    <x v="2"/>
    <x v="1"/>
    <n v="84"/>
    <n v="2"/>
    <n v="2"/>
    <s v="Manufacturing Director"/>
    <x v="3"/>
    <s v="Married"/>
    <x v="241"/>
    <n v="23687"/>
    <n v="6"/>
    <x v="0"/>
    <x v="1"/>
    <n v="13"/>
    <n v="3"/>
    <n v="2"/>
    <n v="80"/>
    <n v="1"/>
    <n v="13"/>
    <n v="3"/>
    <n v="3"/>
    <n v="11"/>
    <n v="9"/>
    <n v="5"/>
    <n v="9"/>
  </r>
  <r>
    <x v="2"/>
    <x v="1"/>
    <x v="0"/>
    <x v="224"/>
    <x v="1"/>
    <n v="1"/>
    <n v="2"/>
    <s v="Medical"/>
    <x v="0"/>
    <n v="340"/>
    <x v="1"/>
    <x v="0"/>
    <n v="83"/>
    <n v="2"/>
    <n v="1"/>
    <s v="Research Scientist"/>
    <x v="3"/>
    <s v="Married"/>
    <x v="242"/>
    <n v="18697"/>
    <n v="2"/>
    <x v="0"/>
    <x v="1"/>
    <n v="14"/>
    <n v="3"/>
    <n v="1"/>
    <n v="80"/>
    <n v="1"/>
    <n v="17"/>
    <n v="2"/>
    <n v="2"/>
    <n v="3"/>
    <n v="1"/>
    <n v="0"/>
    <n v="2"/>
  </r>
  <r>
    <x v="28"/>
    <x v="1"/>
    <x v="1"/>
    <x v="225"/>
    <x v="1"/>
    <n v="7"/>
    <n v="4"/>
    <s v="Life Sciences"/>
    <x v="0"/>
    <n v="341"/>
    <x v="3"/>
    <x v="1"/>
    <n v="77"/>
    <n v="4"/>
    <n v="2"/>
    <s v="Manufacturing Director"/>
    <x v="2"/>
    <s v="Married"/>
    <x v="243"/>
    <n v="5118"/>
    <n v="4"/>
    <x v="0"/>
    <x v="1"/>
    <n v="17"/>
    <n v="3"/>
    <n v="4"/>
    <n v="80"/>
    <n v="1"/>
    <n v="9"/>
    <n v="1"/>
    <n v="3"/>
    <n v="3"/>
    <n v="2"/>
    <n v="0"/>
    <n v="2"/>
  </r>
  <r>
    <x v="2"/>
    <x v="0"/>
    <x v="1"/>
    <x v="226"/>
    <x v="1"/>
    <n v="10"/>
    <n v="3"/>
    <s v="Medical"/>
    <x v="0"/>
    <n v="342"/>
    <x v="3"/>
    <x v="1"/>
    <n v="61"/>
    <n v="3"/>
    <n v="3"/>
    <s v="Manufacturing Director"/>
    <x v="2"/>
    <s v="Divorced"/>
    <x v="244"/>
    <n v="22573"/>
    <n v="6"/>
    <x v="0"/>
    <x v="1"/>
    <n v="11"/>
    <n v="3"/>
    <n v="2"/>
    <n v="80"/>
    <n v="2"/>
    <n v="17"/>
    <n v="5"/>
    <n v="3"/>
    <n v="1"/>
    <n v="0"/>
    <n v="0"/>
    <n v="0"/>
  </r>
  <r>
    <x v="22"/>
    <x v="1"/>
    <x v="1"/>
    <x v="227"/>
    <x v="1"/>
    <n v="2"/>
    <n v="4"/>
    <s v="Technical Degree"/>
    <x v="0"/>
    <n v="343"/>
    <x v="1"/>
    <x v="0"/>
    <n v="64"/>
    <n v="3"/>
    <n v="3"/>
    <s v="Healthcare Representative"/>
    <x v="2"/>
    <s v="Single"/>
    <x v="245"/>
    <n v="6420"/>
    <n v="0"/>
    <x v="0"/>
    <x v="1"/>
    <n v="25"/>
    <n v="4"/>
    <n v="4"/>
    <n v="80"/>
    <n v="0"/>
    <n v="20"/>
    <n v="1"/>
    <n v="3"/>
    <n v="19"/>
    <n v="6"/>
    <n v="11"/>
    <n v="8"/>
  </r>
  <r>
    <x v="11"/>
    <x v="1"/>
    <x v="0"/>
    <x v="102"/>
    <x v="1"/>
    <n v="15"/>
    <n v="3"/>
    <s v="Life Sciences"/>
    <x v="0"/>
    <n v="346"/>
    <x v="1"/>
    <x v="1"/>
    <n v="60"/>
    <n v="3"/>
    <n v="1"/>
    <s v="Research Scientist"/>
    <x v="0"/>
    <s v="Single"/>
    <x v="246"/>
    <n v="22673"/>
    <n v="1"/>
    <x v="0"/>
    <x v="1"/>
    <n v="19"/>
    <n v="3"/>
    <n v="1"/>
    <n v="80"/>
    <n v="0"/>
    <n v="6"/>
    <n v="1"/>
    <n v="3"/>
    <n v="6"/>
    <n v="5"/>
    <n v="1"/>
    <n v="5"/>
  </r>
  <r>
    <x v="19"/>
    <x v="1"/>
    <x v="0"/>
    <x v="228"/>
    <x v="1"/>
    <n v="17"/>
    <n v="2"/>
    <s v="Life Sciences"/>
    <x v="0"/>
    <n v="347"/>
    <x v="2"/>
    <x v="0"/>
    <n v="82"/>
    <n v="4"/>
    <n v="2"/>
    <s v="Research Scientist"/>
    <x v="3"/>
    <s v="Single"/>
    <x v="247"/>
    <n v="23016"/>
    <n v="3"/>
    <x v="0"/>
    <x v="0"/>
    <n v="13"/>
    <n v="3"/>
    <n v="3"/>
    <n v="80"/>
    <n v="0"/>
    <n v="10"/>
    <n v="1"/>
    <n v="3"/>
    <n v="3"/>
    <n v="2"/>
    <n v="0"/>
    <n v="2"/>
  </r>
  <r>
    <x v="11"/>
    <x v="1"/>
    <x v="0"/>
    <x v="229"/>
    <x v="0"/>
    <n v="20"/>
    <n v="2"/>
    <s v="Marketing"/>
    <x v="0"/>
    <n v="349"/>
    <x v="2"/>
    <x v="1"/>
    <n v="45"/>
    <n v="3"/>
    <n v="2"/>
    <s v="Sales Executive"/>
    <x v="0"/>
    <s v="Divorced"/>
    <x v="248"/>
    <n v="10732"/>
    <n v="2"/>
    <x v="0"/>
    <x v="1"/>
    <n v="14"/>
    <n v="3"/>
    <n v="4"/>
    <n v="80"/>
    <n v="1"/>
    <n v="10"/>
    <n v="2"/>
    <n v="3"/>
    <n v="3"/>
    <n v="2"/>
    <n v="0"/>
    <n v="2"/>
  </r>
  <r>
    <x v="36"/>
    <x v="1"/>
    <x v="0"/>
    <x v="230"/>
    <x v="1"/>
    <n v="1"/>
    <n v="3"/>
    <s v="Life Sciences"/>
    <x v="0"/>
    <n v="350"/>
    <x v="3"/>
    <x v="0"/>
    <n v="62"/>
    <n v="3"/>
    <n v="2"/>
    <s v="Manufacturing Director"/>
    <x v="2"/>
    <s v="Married"/>
    <x v="249"/>
    <n v="7505"/>
    <n v="0"/>
    <x v="0"/>
    <x v="1"/>
    <n v="12"/>
    <n v="3"/>
    <n v="4"/>
    <n v="80"/>
    <n v="2"/>
    <n v="5"/>
    <n v="3"/>
    <n v="3"/>
    <n v="4"/>
    <n v="2"/>
    <n v="1"/>
    <n v="2"/>
  </r>
  <r>
    <x v="19"/>
    <x v="1"/>
    <x v="0"/>
    <x v="231"/>
    <x v="1"/>
    <n v="2"/>
    <n v="3"/>
    <s v="Medical"/>
    <x v="0"/>
    <n v="351"/>
    <x v="2"/>
    <x v="0"/>
    <n v="56"/>
    <n v="2"/>
    <n v="1"/>
    <s v="Laboratory Technician"/>
    <x v="3"/>
    <s v="Divorced"/>
    <x v="250"/>
    <n v="8007"/>
    <n v="0"/>
    <x v="0"/>
    <x v="0"/>
    <n v="11"/>
    <n v="3"/>
    <n v="3"/>
    <n v="80"/>
    <n v="1"/>
    <n v="10"/>
    <n v="4"/>
    <n v="3"/>
    <n v="9"/>
    <n v="6"/>
    <n v="7"/>
    <n v="8"/>
  </r>
  <r>
    <x v="32"/>
    <x v="1"/>
    <x v="0"/>
    <x v="232"/>
    <x v="1"/>
    <n v="2"/>
    <n v="2"/>
    <s v="Medical"/>
    <x v="0"/>
    <n v="352"/>
    <x v="3"/>
    <x v="1"/>
    <n v="49"/>
    <n v="3"/>
    <n v="5"/>
    <s v="Research Director"/>
    <x v="2"/>
    <s v="Divorced"/>
    <x v="251"/>
    <n v="5949"/>
    <n v="0"/>
    <x v="0"/>
    <x v="1"/>
    <n v="19"/>
    <n v="3"/>
    <n v="4"/>
    <n v="80"/>
    <n v="1"/>
    <n v="22"/>
    <n v="5"/>
    <n v="3"/>
    <n v="21"/>
    <n v="7"/>
    <n v="3"/>
    <n v="9"/>
  </r>
  <r>
    <x v="31"/>
    <x v="1"/>
    <x v="0"/>
    <x v="233"/>
    <x v="1"/>
    <n v="1"/>
    <n v="3"/>
    <s v="Life Sciences"/>
    <x v="0"/>
    <n v="353"/>
    <x v="1"/>
    <x v="1"/>
    <n v="96"/>
    <n v="3"/>
    <n v="1"/>
    <s v="Research Scientist"/>
    <x v="0"/>
    <s v="Married"/>
    <x v="252"/>
    <n v="23231"/>
    <n v="1"/>
    <x v="0"/>
    <x v="1"/>
    <n v="11"/>
    <n v="3"/>
    <n v="2"/>
    <n v="80"/>
    <n v="0"/>
    <n v="1"/>
    <n v="0"/>
    <n v="2"/>
    <n v="1"/>
    <n v="0"/>
    <n v="0"/>
    <n v="0"/>
  </r>
  <r>
    <x v="12"/>
    <x v="0"/>
    <x v="1"/>
    <x v="234"/>
    <x v="1"/>
    <n v="29"/>
    <n v="2"/>
    <s v="Medical"/>
    <x v="0"/>
    <n v="355"/>
    <x v="1"/>
    <x v="1"/>
    <n v="71"/>
    <n v="2"/>
    <n v="1"/>
    <s v="Laboratory Technician"/>
    <x v="1"/>
    <s v="Single"/>
    <x v="253"/>
    <n v="11652"/>
    <n v="0"/>
    <x v="0"/>
    <x v="1"/>
    <n v="11"/>
    <n v="3"/>
    <n v="2"/>
    <n v="80"/>
    <n v="0"/>
    <n v="6"/>
    <n v="2"/>
    <n v="4"/>
    <n v="5"/>
    <n v="4"/>
    <n v="1"/>
    <n v="4"/>
  </r>
  <r>
    <x v="5"/>
    <x v="1"/>
    <x v="1"/>
    <x v="235"/>
    <x v="1"/>
    <n v="7"/>
    <n v="3"/>
    <s v="Life Sciences"/>
    <x v="0"/>
    <n v="359"/>
    <x v="0"/>
    <x v="1"/>
    <n v="100"/>
    <n v="4"/>
    <n v="1"/>
    <s v="Laboratory Technician"/>
    <x v="1"/>
    <s v="Married"/>
    <x v="254"/>
    <n v="26062"/>
    <n v="1"/>
    <x v="0"/>
    <x v="1"/>
    <n v="20"/>
    <n v="4"/>
    <n v="3"/>
    <n v="80"/>
    <n v="0"/>
    <n v="5"/>
    <n v="3"/>
    <n v="1"/>
    <n v="5"/>
    <n v="1"/>
    <n v="0"/>
    <n v="3"/>
  </r>
  <r>
    <x v="8"/>
    <x v="1"/>
    <x v="2"/>
    <x v="222"/>
    <x v="0"/>
    <n v="2"/>
    <n v="2"/>
    <s v="Life Sciences"/>
    <x v="0"/>
    <n v="361"/>
    <x v="2"/>
    <x v="1"/>
    <n v="39"/>
    <n v="2"/>
    <n v="2"/>
    <s v="Sales Executive"/>
    <x v="0"/>
    <s v="Married"/>
    <x v="255"/>
    <n v="19682"/>
    <n v="3"/>
    <x v="0"/>
    <x v="1"/>
    <n v="18"/>
    <n v="3"/>
    <n v="4"/>
    <n v="80"/>
    <n v="1"/>
    <n v="13"/>
    <n v="0"/>
    <n v="3"/>
    <n v="8"/>
    <n v="7"/>
    <n v="7"/>
    <n v="5"/>
  </r>
  <r>
    <x v="5"/>
    <x v="1"/>
    <x v="0"/>
    <x v="236"/>
    <x v="1"/>
    <n v="2"/>
    <n v="1"/>
    <s v="Technical Degree"/>
    <x v="0"/>
    <n v="362"/>
    <x v="2"/>
    <x v="1"/>
    <n v="84"/>
    <n v="2"/>
    <n v="2"/>
    <s v="Laboratory Technician"/>
    <x v="3"/>
    <s v="Single"/>
    <x v="256"/>
    <n v="19737"/>
    <n v="4"/>
    <x v="0"/>
    <x v="1"/>
    <n v="13"/>
    <n v="3"/>
    <n v="4"/>
    <n v="80"/>
    <n v="0"/>
    <n v="9"/>
    <n v="5"/>
    <n v="3"/>
    <n v="6"/>
    <n v="2"/>
    <n v="0"/>
    <n v="4"/>
  </r>
  <r>
    <x v="21"/>
    <x v="1"/>
    <x v="0"/>
    <x v="237"/>
    <x v="0"/>
    <n v="2"/>
    <n v="3"/>
    <s v="Technical Degree"/>
    <x v="0"/>
    <n v="363"/>
    <x v="1"/>
    <x v="0"/>
    <n v="75"/>
    <n v="1"/>
    <n v="4"/>
    <s v="Manager"/>
    <x v="1"/>
    <s v="Married"/>
    <x v="257"/>
    <n v="14977"/>
    <n v="3"/>
    <x v="0"/>
    <x v="0"/>
    <n v="12"/>
    <n v="3"/>
    <n v="2"/>
    <n v="80"/>
    <n v="1"/>
    <n v="28"/>
    <n v="2"/>
    <n v="2"/>
    <n v="7"/>
    <n v="7"/>
    <n v="7"/>
    <n v="7"/>
  </r>
  <r>
    <x v="14"/>
    <x v="0"/>
    <x v="0"/>
    <x v="238"/>
    <x v="1"/>
    <n v="2"/>
    <n v="4"/>
    <s v="Life Sciences"/>
    <x v="0"/>
    <n v="364"/>
    <x v="3"/>
    <x v="1"/>
    <n v="79"/>
    <n v="3"/>
    <n v="1"/>
    <s v="Laboratory Technician"/>
    <x v="2"/>
    <s v="Single"/>
    <x v="258"/>
    <n v="14935"/>
    <n v="2"/>
    <x v="0"/>
    <x v="1"/>
    <n v="11"/>
    <n v="3"/>
    <n v="3"/>
    <n v="80"/>
    <n v="0"/>
    <n v="5"/>
    <n v="5"/>
    <n v="1"/>
    <n v="0"/>
    <n v="0"/>
    <n v="0"/>
    <n v="0"/>
  </r>
  <r>
    <x v="11"/>
    <x v="1"/>
    <x v="0"/>
    <x v="239"/>
    <x v="0"/>
    <n v="2"/>
    <n v="3"/>
    <s v="Medical"/>
    <x v="0"/>
    <n v="366"/>
    <x v="3"/>
    <x v="1"/>
    <n v="78"/>
    <n v="2"/>
    <n v="2"/>
    <s v="Sales Executive"/>
    <x v="1"/>
    <s v="Married"/>
    <x v="259"/>
    <n v="3687"/>
    <n v="2"/>
    <x v="0"/>
    <x v="1"/>
    <n v="19"/>
    <n v="3"/>
    <n v="2"/>
    <n v="80"/>
    <n v="2"/>
    <n v="10"/>
    <n v="2"/>
    <n v="3"/>
    <n v="0"/>
    <n v="0"/>
    <n v="0"/>
    <n v="0"/>
  </r>
  <r>
    <x v="12"/>
    <x v="1"/>
    <x v="0"/>
    <x v="240"/>
    <x v="1"/>
    <n v="23"/>
    <n v="3"/>
    <s v="Medical"/>
    <x v="0"/>
    <n v="367"/>
    <x v="0"/>
    <x v="1"/>
    <n v="64"/>
    <n v="2"/>
    <n v="2"/>
    <s v="Healthcare Representative"/>
    <x v="0"/>
    <s v="Married"/>
    <x v="260"/>
    <n v="14408"/>
    <n v="0"/>
    <x v="0"/>
    <x v="1"/>
    <n v="21"/>
    <n v="4"/>
    <n v="2"/>
    <n v="80"/>
    <n v="1"/>
    <n v="10"/>
    <n v="2"/>
    <n v="3"/>
    <n v="9"/>
    <n v="0"/>
    <n v="7"/>
    <n v="8"/>
  </r>
  <r>
    <x v="36"/>
    <x v="1"/>
    <x v="2"/>
    <x v="241"/>
    <x v="1"/>
    <n v="5"/>
    <n v="2"/>
    <s v="Life Sciences"/>
    <x v="0"/>
    <n v="369"/>
    <x v="0"/>
    <x v="1"/>
    <n v="85"/>
    <n v="4"/>
    <n v="2"/>
    <s v="Healthcare Representative"/>
    <x v="3"/>
    <s v="Divorced"/>
    <x v="261"/>
    <n v="18384"/>
    <n v="1"/>
    <x v="0"/>
    <x v="1"/>
    <n v="12"/>
    <n v="3"/>
    <n v="4"/>
    <n v="80"/>
    <n v="2"/>
    <n v="6"/>
    <n v="2"/>
    <n v="3"/>
    <n v="6"/>
    <n v="3"/>
    <n v="1"/>
    <n v="5"/>
  </r>
  <r>
    <x v="28"/>
    <x v="1"/>
    <x v="0"/>
    <x v="242"/>
    <x v="1"/>
    <n v="20"/>
    <n v="2"/>
    <s v="Medical"/>
    <x v="0"/>
    <n v="372"/>
    <x v="1"/>
    <x v="1"/>
    <n v="79"/>
    <n v="3"/>
    <n v="4"/>
    <s v="Healthcare Representative"/>
    <x v="0"/>
    <s v="Married"/>
    <x v="262"/>
    <n v="7501"/>
    <n v="0"/>
    <x v="0"/>
    <x v="0"/>
    <n v="14"/>
    <n v="3"/>
    <n v="2"/>
    <n v="80"/>
    <n v="0"/>
    <n v="21"/>
    <n v="2"/>
    <n v="3"/>
    <n v="20"/>
    <n v="7"/>
    <n v="4"/>
    <n v="10"/>
  </r>
  <r>
    <x v="9"/>
    <x v="1"/>
    <x v="0"/>
    <x v="243"/>
    <x v="1"/>
    <n v="6"/>
    <n v="3"/>
    <s v="Life Sciences"/>
    <x v="0"/>
    <n v="373"/>
    <x v="2"/>
    <x v="1"/>
    <n v="47"/>
    <n v="3"/>
    <n v="1"/>
    <s v="Laboratory Technician"/>
    <x v="0"/>
    <s v="Married"/>
    <x v="263"/>
    <n v="20251"/>
    <n v="0"/>
    <x v="0"/>
    <x v="1"/>
    <n v="11"/>
    <n v="3"/>
    <n v="3"/>
    <n v="80"/>
    <n v="1"/>
    <n v="16"/>
    <n v="4"/>
    <n v="3"/>
    <n v="15"/>
    <n v="13"/>
    <n v="10"/>
    <n v="11"/>
  </r>
  <r>
    <x v="27"/>
    <x v="1"/>
    <x v="0"/>
    <x v="244"/>
    <x v="1"/>
    <n v="1"/>
    <n v="3"/>
    <s v="Medical"/>
    <x v="0"/>
    <n v="374"/>
    <x v="2"/>
    <x v="1"/>
    <n v="81"/>
    <n v="3"/>
    <n v="5"/>
    <s v="Manager"/>
    <x v="3"/>
    <s v="Single"/>
    <x v="264"/>
    <n v="18938"/>
    <n v="0"/>
    <x v="0"/>
    <x v="0"/>
    <n v="14"/>
    <n v="3"/>
    <n v="3"/>
    <n v="80"/>
    <n v="0"/>
    <n v="37"/>
    <n v="2"/>
    <n v="3"/>
    <n v="36"/>
    <n v="10"/>
    <n v="4"/>
    <n v="13"/>
  </r>
  <r>
    <x v="40"/>
    <x v="0"/>
    <x v="2"/>
    <x v="245"/>
    <x v="1"/>
    <n v="29"/>
    <n v="4"/>
    <s v="Life Sciences"/>
    <x v="0"/>
    <n v="376"/>
    <x v="3"/>
    <x v="1"/>
    <n v="88"/>
    <n v="3"/>
    <n v="3"/>
    <s v="Manager"/>
    <x v="1"/>
    <s v="Married"/>
    <x v="265"/>
    <n v="10268"/>
    <n v="1"/>
    <x v="0"/>
    <x v="0"/>
    <n v="12"/>
    <n v="3"/>
    <n v="4"/>
    <n v="80"/>
    <n v="1"/>
    <n v="10"/>
    <n v="2"/>
    <n v="2"/>
    <n v="10"/>
    <n v="7"/>
    <n v="9"/>
    <n v="9"/>
  </r>
  <r>
    <x v="14"/>
    <x v="1"/>
    <x v="0"/>
    <x v="246"/>
    <x v="1"/>
    <n v="9"/>
    <n v="3"/>
    <s v="Medical"/>
    <x v="0"/>
    <n v="377"/>
    <x v="2"/>
    <x v="1"/>
    <n v="94"/>
    <n v="3"/>
    <n v="1"/>
    <s v="Research Scientist"/>
    <x v="0"/>
    <s v="Married"/>
    <x v="266"/>
    <n v="2613"/>
    <n v="1"/>
    <x v="0"/>
    <x v="1"/>
    <n v="23"/>
    <n v="4"/>
    <n v="4"/>
    <n v="80"/>
    <n v="1"/>
    <n v="5"/>
    <n v="3"/>
    <n v="2"/>
    <n v="5"/>
    <n v="2"/>
    <n v="0"/>
    <n v="4"/>
  </r>
  <r>
    <x v="2"/>
    <x v="1"/>
    <x v="0"/>
    <x v="247"/>
    <x v="0"/>
    <n v="6"/>
    <n v="4"/>
    <s v="Medical"/>
    <x v="0"/>
    <n v="378"/>
    <x v="1"/>
    <x v="1"/>
    <n v="98"/>
    <n v="3"/>
    <n v="2"/>
    <s v="Sales Executive"/>
    <x v="0"/>
    <s v="Married"/>
    <x v="267"/>
    <n v="22825"/>
    <n v="4"/>
    <x v="0"/>
    <x v="1"/>
    <n v="14"/>
    <n v="3"/>
    <n v="2"/>
    <n v="80"/>
    <n v="1"/>
    <n v="7"/>
    <n v="5"/>
    <n v="4"/>
    <n v="5"/>
    <n v="4"/>
    <n v="0"/>
    <n v="1"/>
  </r>
  <r>
    <x v="18"/>
    <x v="1"/>
    <x v="0"/>
    <x v="248"/>
    <x v="1"/>
    <n v="3"/>
    <n v="2"/>
    <s v="Medical"/>
    <x v="0"/>
    <n v="379"/>
    <x v="2"/>
    <x v="1"/>
    <n v="100"/>
    <n v="2"/>
    <n v="1"/>
    <s v="Research Scientist"/>
    <x v="2"/>
    <s v="Single"/>
    <x v="268"/>
    <n v="10531"/>
    <n v="1"/>
    <x v="0"/>
    <x v="1"/>
    <n v="17"/>
    <n v="3"/>
    <n v="1"/>
    <n v="80"/>
    <n v="0"/>
    <n v="3"/>
    <n v="4"/>
    <n v="4"/>
    <n v="3"/>
    <n v="2"/>
    <n v="1"/>
    <n v="0"/>
  </r>
  <r>
    <x v="2"/>
    <x v="1"/>
    <x v="2"/>
    <x v="249"/>
    <x v="1"/>
    <n v="1"/>
    <n v="4"/>
    <s v="Medical"/>
    <x v="0"/>
    <n v="380"/>
    <x v="3"/>
    <x v="0"/>
    <n v="80"/>
    <n v="3"/>
    <n v="3"/>
    <s v="Research Director"/>
    <x v="0"/>
    <s v="Divorced"/>
    <x v="269"/>
    <n v="11677"/>
    <n v="2"/>
    <x v="0"/>
    <x v="0"/>
    <n v="18"/>
    <n v="3"/>
    <n v="1"/>
    <n v="80"/>
    <n v="2"/>
    <n v="15"/>
    <n v="2"/>
    <n v="3"/>
    <n v="5"/>
    <n v="2"/>
    <n v="0"/>
    <n v="2"/>
  </r>
  <r>
    <x v="10"/>
    <x v="1"/>
    <x v="0"/>
    <x v="250"/>
    <x v="1"/>
    <n v="22"/>
    <n v="3"/>
    <s v="Life Sciences"/>
    <x v="0"/>
    <n v="381"/>
    <x v="0"/>
    <x v="0"/>
    <n v="71"/>
    <n v="4"/>
    <n v="3"/>
    <s v="Manager"/>
    <x v="1"/>
    <s v="Divorced"/>
    <x v="270"/>
    <n v="19100"/>
    <n v="7"/>
    <x v="0"/>
    <x v="1"/>
    <n v="18"/>
    <n v="3"/>
    <n v="2"/>
    <n v="80"/>
    <n v="1"/>
    <n v="10"/>
    <n v="6"/>
    <n v="2"/>
    <n v="7"/>
    <n v="7"/>
    <n v="6"/>
    <n v="2"/>
  </r>
  <r>
    <x v="8"/>
    <x v="1"/>
    <x v="0"/>
    <x v="251"/>
    <x v="0"/>
    <n v="7"/>
    <n v="2"/>
    <s v="Medical"/>
    <x v="0"/>
    <n v="382"/>
    <x v="3"/>
    <x v="0"/>
    <n v="44"/>
    <n v="4"/>
    <n v="2"/>
    <s v="Sales Executive"/>
    <x v="3"/>
    <s v="Divorced"/>
    <x v="147"/>
    <n v="19191"/>
    <n v="1"/>
    <x v="0"/>
    <x v="0"/>
    <n v="24"/>
    <n v="4"/>
    <n v="3"/>
    <n v="80"/>
    <n v="1"/>
    <n v="8"/>
    <n v="3"/>
    <n v="3"/>
    <n v="8"/>
    <n v="0"/>
    <n v="7"/>
    <n v="7"/>
  </r>
  <r>
    <x v="25"/>
    <x v="1"/>
    <x v="1"/>
    <x v="252"/>
    <x v="1"/>
    <n v="1"/>
    <n v="3"/>
    <s v="Life Sciences"/>
    <x v="0"/>
    <n v="384"/>
    <x v="1"/>
    <x v="0"/>
    <n v="84"/>
    <n v="3"/>
    <n v="2"/>
    <s v="Manufacturing Director"/>
    <x v="1"/>
    <s v="Divorced"/>
    <x v="271"/>
    <n v="26767"/>
    <n v="1"/>
    <x v="0"/>
    <x v="1"/>
    <n v="20"/>
    <n v="4"/>
    <n v="1"/>
    <n v="80"/>
    <n v="1"/>
    <n v="6"/>
    <n v="6"/>
    <n v="1"/>
    <n v="6"/>
    <n v="5"/>
    <n v="1"/>
    <n v="4"/>
  </r>
  <r>
    <x v="24"/>
    <x v="1"/>
    <x v="0"/>
    <x v="253"/>
    <x v="1"/>
    <n v="4"/>
    <n v="1"/>
    <s v="Life Sciences"/>
    <x v="0"/>
    <n v="385"/>
    <x v="3"/>
    <x v="1"/>
    <n v="96"/>
    <n v="3"/>
    <n v="5"/>
    <s v="Research Director"/>
    <x v="1"/>
    <s v="Divorced"/>
    <x v="272"/>
    <n v="15815"/>
    <n v="3"/>
    <x v="0"/>
    <x v="1"/>
    <n v="14"/>
    <n v="3"/>
    <n v="1"/>
    <n v="80"/>
    <n v="2"/>
    <n v="28"/>
    <n v="4"/>
    <n v="2"/>
    <n v="10"/>
    <n v="4"/>
    <n v="1"/>
    <n v="6"/>
  </r>
  <r>
    <x v="16"/>
    <x v="1"/>
    <x v="0"/>
    <x v="254"/>
    <x v="1"/>
    <n v="3"/>
    <n v="4"/>
    <s v="Medical"/>
    <x v="0"/>
    <n v="386"/>
    <x v="1"/>
    <x v="1"/>
    <n v="45"/>
    <n v="3"/>
    <n v="4"/>
    <s v="Research Director"/>
    <x v="2"/>
    <s v="Married"/>
    <x v="273"/>
    <n v="21016"/>
    <n v="3"/>
    <x v="0"/>
    <x v="0"/>
    <n v="16"/>
    <n v="3"/>
    <n v="4"/>
    <n v="80"/>
    <n v="3"/>
    <n v="21"/>
    <n v="5"/>
    <n v="2"/>
    <n v="5"/>
    <n v="3"/>
    <n v="1"/>
    <n v="3"/>
  </r>
  <r>
    <x v="19"/>
    <x v="1"/>
    <x v="0"/>
    <x v="192"/>
    <x v="0"/>
    <n v="1"/>
    <n v="1"/>
    <s v="Life Sciences"/>
    <x v="0"/>
    <n v="387"/>
    <x v="0"/>
    <x v="1"/>
    <n v="99"/>
    <n v="3"/>
    <n v="2"/>
    <s v="Sales Executive"/>
    <x v="2"/>
    <s v="Married"/>
    <x v="274"/>
    <n v="24532"/>
    <n v="1"/>
    <x v="0"/>
    <x v="1"/>
    <n v="25"/>
    <n v="4"/>
    <n v="3"/>
    <n v="80"/>
    <n v="0"/>
    <n v="20"/>
    <n v="3"/>
    <n v="3"/>
    <n v="20"/>
    <n v="16"/>
    <n v="11"/>
    <n v="6"/>
  </r>
  <r>
    <x v="11"/>
    <x v="1"/>
    <x v="1"/>
    <x v="255"/>
    <x v="0"/>
    <n v="2"/>
    <n v="2"/>
    <s v="Life Sciences"/>
    <x v="0"/>
    <n v="388"/>
    <x v="0"/>
    <x v="1"/>
    <n v="44"/>
    <n v="3"/>
    <n v="2"/>
    <s v="Sales Executive"/>
    <x v="0"/>
    <s v="Single"/>
    <x v="275"/>
    <n v="20260"/>
    <n v="1"/>
    <x v="0"/>
    <x v="1"/>
    <n v="18"/>
    <n v="3"/>
    <n v="1"/>
    <n v="80"/>
    <n v="0"/>
    <n v="10"/>
    <n v="3"/>
    <n v="2"/>
    <n v="10"/>
    <n v="7"/>
    <n v="0"/>
    <n v="9"/>
  </r>
  <r>
    <x v="27"/>
    <x v="1"/>
    <x v="0"/>
    <x v="124"/>
    <x v="1"/>
    <n v="20"/>
    <n v="2"/>
    <s v="Technical Degree"/>
    <x v="0"/>
    <n v="389"/>
    <x v="0"/>
    <x v="1"/>
    <n v="37"/>
    <n v="3"/>
    <n v="2"/>
    <s v="Laboratory Technician"/>
    <x v="0"/>
    <s v="Married"/>
    <x v="276"/>
    <n v="15972"/>
    <n v="3"/>
    <x v="0"/>
    <x v="0"/>
    <n v="19"/>
    <n v="3"/>
    <n v="4"/>
    <n v="80"/>
    <n v="1"/>
    <n v="12"/>
    <n v="4"/>
    <n v="3"/>
    <n v="10"/>
    <n v="7"/>
    <n v="0"/>
    <n v="8"/>
  </r>
  <r>
    <x v="25"/>
    <x v="1"/>
    <x v="1"/>
    <x v="256"/>
    <x v="1"/>
    <n v="11"/>
    <n v="2"/>
    <s v="Medical"/>
    <x v="0"/>
    <n v="390"/>
    <x v="3"/>
    <x v="1"/>
    <n v="60"/>
    <n v="3"/>
    <n v="2"/>
    <s v="Healthcare Representative"/>
    <x v="3"/>
    <s v="Married"/>
    <x v="277"/>
    <n v="22722"/>
    <n v="1"/>
    <x v="0"/>
    <x v="0"/>
    <n v="13"/>
    <n v="3"/>
    <n v="3"/>
    <n v="80"/>
    <n v="1"/>
    <n v="5"/>
    <n v="3"/>
    <n v="3"/>
    <n v="5"/>
    <n v="3"/>
    <n v="3"/>
    <n v="3"/>
  </r>
  <r>
    <x v="2"/>
    <x v="1"/>
    <x v="0"/>
    <x v="257"/>
    <x v="1"/>
    <n v="1"/>
    <n v="3"/>
    <s v="Life Sciences"/>
    <x v="0"/>
    <n v="391"/>
    <x v="2"/>
    <x v="0"/>
    <n v="42"/>
    <n v="3"/>
    <n v="1"/>
    <s v="Research Scientist"/>
    <x v="0"/>
    <s v="Single"/>
    <x v="278"/>
    <n v="15881"/>
    <n v="1"/>
    <x v="0"/>
    <x v="1"/>
    <n v="12"/>
    <n v="3"/>
    <n v="2"/>
    <n v="80"/>
    <n v="0"/>
    <n v="17"/>
    <n v="3"/>
    <n v="3"/>
    <n v="17"/>
    <n v="12"/>
    <n v="5"/>
    <n v="7"/>
  </r>
  <r>
    <x v="20"/>
    <x v="0"/>
    <x v="1"/>
    <x v="258"/>
    <x v="1"/>
    <n v="24"/>
    <n v="3"/>
    <s v="Life Sciences"/>
    <x v="0"/>
    <n v="392"/>
    <x v="2"/>
    <x v="1"/>
    <n v="43"/>
    <n v="3"/>
    <n v="1"/>
    <s v="Laboratory Technician"/>
    <x v="2"/>
    <s v="Divorced"/>
    <x v="279"/>
    <n v="19920"/>
    <n v="3"/>
    <x v="0"/>
    <x v="0"/>
    <n v="22"/>
    <n v="4"/>
    <n v="4"/>
    <n v="80"/>
    <n v="1"/>
    <n v="19"/>
    <n v="0"/>
    <n v="1"/>
    <n v="1"/>
    <n v="0"/>
    <n v="0"/>
    <n v="0"/>
  </r>
  <r>
    <x v="8"/>
    <x v="1"/>
    <x v="0"/>
    <x v="259"/>
    <x v="1"/>
    <n v="23"/>
    <n v="4"/>
    <s v="Life Sciences"/>
    <x v="0"/>
    <n v="393"/>
    <x v="2"/>
    <x v="1"/>
    <n v="82"/>
    <n v="3"/>
    <n v="2"/>
    <s v="Healthcare Representative"/>
    <x v="0"/>
    <s v="Divorced"/>
    <x v="280"/>
    <n v="18899"/>
    <n v="9"/>
    <x v="0"/>
    <x v="1"/>
    <n v="14"/>
    <n v="3"/>
    <n v="2"/>
    <n v="80"/>
    <n v="1"/>
    <n v="10"/>
    <n v="2"/>
    <n v="3"/>
    <n v="2"/>
    <n v="2"/>
    <n v="1"/>
    <n v="2"/>
  </r>
  <r>
    <x v="25"/>
    <x v="0"/>
    <x v="0"/>
    <x v="260"/>
    <x v="1"/>
    <n v="16"/>
    <n v="4"/>
    <s v="Medical"/>
    <x v="0"/>
    <n v="394"/>
    <x v="3"/>
    <x v="1"/>
    <n v="45"/>
    <n v="3"/>
    <n v="1"/>
    <s v="Laboratory Technician"/>
    <x v="1"/>
    <s v="Divorced"/>
    <x v="281"/>
    <n v="14180"/>
    <n v="2"/>
    <x v="0"/>
    <x v="0"/>
    <n v="13"/>
    <n v="3"/>
    <n v="4"/>
    <n v="80"/>
    <n v="1"/>
    <n v="5"/>
    <n v="2"/>
    <n v="3"/>
    <n v="3"/>
    <n v="2"/>
    <n v="0"/>
    <n v="2"/>
  </r>
  <r>
    <x v="14"/>
    <x v="1"/>
    <x v="0"/>
    <x v="261"/>
    <x v="1"/>
    <n v="8"/>
    <n v="2"/>
    <s v="Life Sciences"/>
    <x v="0"/>
    <n v="395"/>
    <x v="2"/>
    <x v="0"/>
    <n v="66"/>
    <n v="3"/>
    <n v="1"/>
    <s v="Research Scientist"/>
    <x v="0"/>
    <s v="Single"/>
    <x v="282"/>
    <n v="4488"/>
    <n v="1"/>
    <x v="0"/>
    <x v="1"/>
    <n v="21"/>
    <n v="4"/>
    <n v="4"/>
    <n v="80"/>
    <n v="0"/>
    <n v="5"/>
    <n v="3"/>
    <n v="3"/>
    <n v="5"/>
    <n v="3"/>
    <n v="0"/>
    <n v="2"/>
  </r>
  <r>
    <x v="1"/>
    <x v="1"/>
    <x v="1"/>
    <x v="262"/>
    <x v="1"/>
    <n v="10"/>
    <n v="4"/>
    <s v="Life Sciences"/>
    <x v="0"/>
    <n v="396"/>
    <x v="1"/>
    <x v="0"/>
    <n v="35"/>
    <n v="3"/>
    <n v="5"/>
    <s v="Research Director"/>
    <x v="3"/>
    <s v="Single"/>
    <x v="283"/>
    <n v="25594"/>
    <n v="9"/>
    <x v="0"/>
    <x v="0"/>
    <n v="11"/>
    <n v="3"/>
    <n v="4"/>
    <n v="80"/>
    <n v="0"/>
    <n v="22"/>
    <n v="4"/>
    <n v="3"/>
    <n v="3"/>
    <n v="2"/>
    <n v="1"/>
    <n v="2"/>
  </r>
  <r>
    <x v="9"/>
    <x v="1"/>
    <x v="0"/>
    <x v="263"/>
    <x v="1"/>
    <n v="3"/>
    <n v="3"/>
    <s v="Technical Degree"/>
    <x v="0"/>
    <n v="397"/>
    <x v="1"/>
    <x v="1"/>
    <n v="30"/>
    <n v="3"/>
    <n v="2"/>
    <s v="Research Scientist"/>
    <x v="1"/>
    <s v="Single"/>
    <x v="284"/>
    <n v="26285"/>
    <n v="4"/>
    <x v="0"/>
    <x v="1"/>
    <n v="12"/>
    <n v="3"/>
    <n v="4"/>
    <n v="80"/>
    <n v="0"/>
    <n v="10"/>
    <n v="2"/>
    <n v="3"/>
    <n v="8"/>
    <n v="0"/>
    <n v="7"/>
    <n v="7"/>
  </r>
  <r>
    <x v="12"/>
    <x v="1"/>
    <x v="1"/>
    <x v="264"/>
    <x v="0"/>
    <n v="5"/>
    <n v="3"/>
    <s v="Marketing"/>
    <x v="0"/>
    <n v="399"/>
    <x v="2"/>
    <x v="0"/>
    <n v="84"/>
    <n v="3"/>
    <n v="1"/>
    <s v="Sales Representative"/>
    <x v="1"/>
    <s v="Divorced"/>
    <x v="285"/>
    <n v="3909"/>
    <n v="1"/>
    <x v="0"/>
    <x v="1"/>
    <n v="11"/>
    <n v="3"/>
    <n v="3"/>
    <n v="80"/>
    <n v="1"/>
    <n v="2"/>
    <n v="5"/>
    <n v="2"/>
    <n v="2"/>
    <n v="2"/>
    <n v="2"/>
    <n v="2"/>
  </r>
  <r>
    <x v="25"/>
    <x v="0"/>
    <x v="0"/>
    <x v="265"/>
    <x v="0"/>
    <n v="4"/>
    <n v="4"/>
    <s v="Marketing"/>
    <x v="0"/>
    <n v="401"/>
    <x v="2"/>
    <x v="1"/>
    <n v="48"/>
    <n v="2"/>
    <n v="2"/>
    <s v="Sales Executive"/>
    <x v="0"/>
    <s v="Single"/>
    <x v="286"/>
    <n v="8450"/>
    <n v="1"/>
    <x v="0"/>
    <x v="0"/>
    <n v="12"/>
    <n v="3"/>
    <n v="2"/>
    <n v="80"/>
    <n v="0"/>
    <n v="8"/>
    <n v="0"/>
    <n v="3"/>
    <n v="8"/>
    <n v="7"/>
    <n v="7"/>
    <n v="4"/>
  </r>
  <r>
    <x v="2"/>
    <x v="1"/>
    <x v="1"/>
    <x v="266"/>
    <x v="1"/>
    <n v="9"/>
    <n v="3"/>
    <s v="Medical"/>
    <x v="0"/>
    <n v="403"/>
    <x v="0"/>
    <x v="1"/>
    <n v="53"/>
    <n v="3"/>
    <n v="1"/>
    <s v="Research Scientist"/>
    <x v="0"/>
    <s v="Married"/>
    <x v="287"/>
    <n v="11411"/>
    <n v="1"/>
    <x v="0"/>
    <x v="0"/>
    <n v="12"/>
    <n v="3"/>
    <n v="3"/>
    <n v="80"/>
    <n v="3"/>
    <n v="4"/>
    <n v="3"/>
    <n v="2"/>
    <n v="4"/>
    <n v="2"/>
    <n v="1"/>
    <n v="2"/>
  </r>
  <r>
    <x v="19"/>
    <x v="1"/>
    <x v="1"/>
    <x v="267"/>
    <x v="0"/>
    <n v="26"/>
    <n v="3"/>
    <s v="Marketing"/>
    <x v="0"/>
    <n v="404"/>
    <x v="1"/>
    <x v="0"/>
    <n v="77"/>
    <n v="3"/>
    <n v="4"/>
    <s v="Sales Executive"/>
    <x v="1"/>
    <s v="Married"/>
    <x v="288"/>
    <n v="14864"/>
    <n v="5"/>
    <x v="0"/>
    <x v="1"/>
    <n v="14"/>
    <n v="3"/>
    <n v="4"/>
    <n v="80"/>
    <n v="1"/>
    <n v="23"/>
    <n v="2"/>
    <n v="4"/>
    <n v="20"/>
    <n v="4"/>
    <n v="4"/>
    <n v="8"/>
  </r>
  <r>
    <x v="41"/>
    <x v="0"/>
    <x v="0"/>
    <x v="268"/>
    <x v="1"/>
    <n v="3"/>
    <n v="3"/>
    <s v="Life Sciences"/>
    <x v="0"/>
    <n v="405"/>
    <x v="1"/>
    <x v="1"/>
    <n v="54"/>
    <n v="3"/>
    <n v="1"/>
    <s v="Laboratory Technician"/>
    <x v="2"/>
    <s v="Single"/>
    <x v="289"/>
    <n v="25233"/>
    <n v="1"/>
    <x v="0"/>
    <x v="1"/>
    <n v="13"/>
    <n v="3"/>
    <n v="3"/>
    <n v="80"/>
    <n v="0"/>
    <n v="0"/>
    <n v="2"/>
    <n v="3"/>
    <n v="0"/>
    <n v="0"/>
    <n v="0"/>
    <n v="0"/>
  </r>
  <r>
    <x v="10"/>
    <x v="1"/>
    <x v="0"/>
    <x v="269"/>
    <x v="0"/>
    <n v="16"/>
    <n v="3"/>
    <s v="Marketing"/>
    <x v="0"/>
    <n v="406"/>
    <x v="1"/>
    <x v="1"/>
    <n v="96"/>
    <n v="3"/>
    <n v="3"/>
    <s v="Sales Executive"/>
    <x v="1"/>
    <s v="Married"/>
    <x v="290"/>
    <n v="5100"/>
    <n v="0"/>
    <x v="0"/>
    <x v="1"/>
    <n v="15"/>
    <n v="3"/>
    <n v="3"/>
    <n v="80"/>
    <n v="2"/>
    <n v="12"/>
    <n v="3"/>
    <n v="2"/>
    <n v="11"/>
    <n v="9"/>
    <n v="6"/>
    <n v="9"/>
  </r>
  <r>
    <x v="9"/>
    <x v="1"/>
    <x v="1"/>
    <x v="270"/>
    <x v="1"/>
    <n v="18"/>
    <n v="4"/>
    <s v="Life Sciences"/>
    <x v="0"/>
    <n v="407"/>
    <x v="1"/>
    <x v="1"/>
    <n v="81"/>
    <n v="4"/>
    <n v="1"/>
    <s v="Laboratory Technician"/>
    <x v="0"/>
    <s v="Married"/>
    <x v="291"/>
    <n v="7122"/>
    <n v="4"/>
    <x v="0"/>
    <x v="1"/>
    <n v="18"/>
    <n v="3"/>
    <n v="4"/>
    <n v="80"/>
    <n v="2"/>
    <n v="4"/>
    <n v="2"/>
    <n v="3"/>
    <n v="1"/>
    <n v="0"/>
    <n v="0"/>
    <n v="0"/>
  </r>
  <r>
    <x v="31"/>
    <x v="1"/>
    <x v="0"/>
    <x v="271"/>
    <x v="1"/>
    <n v="2"/>
    <n v="3"/>
    <s v="Medical"/>
    <x v="0"/>
    <n v="408"/>
    <x v="2"/>
    <x v="1"/>
    <n v="84"/>
    <n v="1"/>
    <n v="2"/>
    <s v="Manufacturing Director"/>
    <x v="1"/>
    <s v="Divorced"/>
    <x v="292"/>
    <n v="16321"/>
    <n v="5"/>
    <x v="0"/>
    <x v="1"/>
    <n v="18"/>
    <n v="3"/>
    <n v="4"/>
    <n v="80"/>
    <n v="1"/>
    <n v="13"/>
    <n v="3"/>
    <n v="3"/>
    <n v="4"/>
    <n v="1"/>
    <n v="1"/>
    <n v="2"/>
  </r>
  <r>
    <x v="0"/>
    <x v="1"/>
    <x v="0"/>
    <x v="16"/>
    <x v="0"/>
    <n v="2"/>
    <n v="4"/>
    <s v="Life Sciences"/>
    <x v="0"/>
    <n v="410"/>
    <x v="2"/>
    <x v="1"/>
    <n v="88"/>
    <n v="3"/>
    <n v="4"/>
    <s v="Manager"/>
    <x v="1"/>
    <s v="Single"/>
    <x v="293"/>
    <n v="15896"/>
    <n v="1"/>
    <x v="0"/>
    <x v="1"/>
    <n v="19"/>
    <n v="3"/>
    <n v="2"/>
    <n v="80"/>
    <n v="0"/>
    <n v="22"/>
    <n v="2"/>
    <n v="3"/>
    <n v="22"/>
    <n v="10"/>
    <n v="0"/>
    <n v="4"/>
  </r>
  <r>
    <x v="41"/>
    <x v="1"/>
    <x v="0"/>
    <x v="272"/>
    <x v="0"/>
    <n v="10"/>
    <n v="3"/>
    <s v="Medical"/>
    <x v="0"/>
    <n v="411"/>
    <x v="2"/>
    <x v="0"/>
    <n v="69"/>
    <n v="2"/>
    <n v="1"/>
    <s v="Sales Representative"/>
    <x v="2"/>
    <s v="Single"/>
    <x v="294"/>
    <n v="9724"/>
    <n v="1"/>
    <x v="0"/>
    <x v="1"/>
    <n v="12"/>
    <n v="3"/>
    <n v="1"/>
    <n v="80"/>
    <n v="0"/>
    <n v="0"/>
    <n v="2"/>
    <n v="3"/>
    <n v="0"/>
    <n v="0"/>
    <n v="0"/>
    <n v="0"/>
  </r>
  <r>
    <x v="14"/>
    <x v="1"/>
    <x v="0"/>
    <x v="273"/>
    <x v="1"/>
    <n v="16"/>
    <n v="2"/>
    <s v="Medical"/>
    <x v="0"/>
    <n v="412"/>
    <x v="0"/>
    <x v="1"/>
    <n v="68"/>
    <n v="4"/>
    <n v="2"/>
    <s v="Healthcare Representative"/>
    <x v="3"/>
    <s v="Single"/>
    <x v="295"/>
    <n v="4824"/>
    <n v="0"/>
    <x v="0"/>
    <x v="1"/>
    <n v="19"/>
    <n v="3"/>
    <n v="3"/>
    <n v="80"/>
    <n v="0"/>
    <n v="9"/>
    <n v="2"/>
    <n v="3"/>
    <n v="8"/>
    <n v="3"/>
    <n v="0"/>
    <n v="7"/>
  </r>
  <r>
    <x v="12"/>
    <x v="1"/>
    <x v="0"/>
    <x v="274"/>
    <x v="0"/>
    <n v="7"/>
    <n v="3"/>
    <s v="Technical Degree"/>
    <x v="0"/>
    <n v="416"/>
    <x v="0"/>
    <x v="1"/>
    <n v="100"/>
    <n v="4"/>
    <n v="2"/>
    <s v="Sales Executive"/>
    <x v="0"/>
    <s v="Married"/>
    <x v="296"/>
    <n v="12241"/>
    <n v="4"/>
    <x v="0"/>
    <x v="1"/>
    <n v="11"/>
    <n v="3"/>
    <n v="2"/>
    <n v="80"/>
    <n v="1"/>
    <n v="10"/>
    <n v="3"/>
    <n v="2"/>
    <n v="8"/>
    <n v="7"/>
    <n v="7"/>
    <n v="7"/>
  </r>
  <r>
    <x v="22"/>
    <x v="1"/>
    <x v="0"/>
    <x v="275"/>
    <x v="1"/>
    <n v="1"/>
    <n v="3"/>
    <s v="Medical"/>
    <x v="0"/>
    <n v="417"/>
    <x v="1"/>
    <x v="1"/>
    <n v="48"/>
    <n v="4"/>
    <n v="3"/>
    <s v="Healthcare Representative"/>
    <x v="0"/>
    <s v="Divorced"/>
    <x v="297"/>
    <n v="10942"/>
    <n v="0"/>
    <x v="0"/>
    <x v="1"/>
    <n v="17"/>
    <n v="3"/>
    <n v="1"/>
    <n v="80"/>
    <n v="3"/>
    <n v="19"/>
    <n v="5"/>
    <n v="2"/>
    <n v="18"/>
    <n v="10"/>
    <n v="3"/>
    <n v="7"/>
  </r>
  <r>
    <x v="9"/>
    <x v="1"/>
    <x v="2"/>
    <x v="276"/>
    <x v="1"/>
    <n v="24"/>
    <n v="4"/>
    <s v="Life Sciences"/>
    <x v="0"/>
    <n v="419"/>
    <x v="0"/>
    <x v="0"/>
    <n v="47"/>
    <n v="3"/>
    <n v="2"/>
    <s v="Laboratory Technician"/>
    <x v="1"/>
    <s v="Married"/>
    <x v="298"/>
    <n v="6927"/>
    <n v="7"/>
    <x v="0"/>
    <x v="1"/>
    <n v="15"/>
    <n v="3"/>
    <n v="3"/>
    <n v="80"/>
    <n v="1"/>
    <n v="11"/>
    <n v="3"/>
    <n v="3"/>
    <n v="9"/>
    <n v="8"/>
    <n v="0"/>
    <n v="8"/>
  </r>
  <r>
    <x v="5"/>
    <x v="1"/>
    <x v="0"/>
    <x v="277"/>
    <x v="0"/>
    <n v="7"/>
    <n v="3"/>
    <s v="Life Sciences"/>
    <x v="0"/>
    <n v="420"/>
    <x v="2"/>
    <x v="1"/>
    <n v="91"/>
    <n v="2"/>
    <n v="2"/>
    <s v="Sales Executive"/>
    <x v="2"/>
    <s v="Married"/>
    <x v="299"/>
    <n v="16985"/>
    <n v="1"/>
    <x v="0"/>
    <x v="1"/>
    <n v="14"/>
    <n v="3"/>
    <n v="3"/>
    <n v="80"/>
    <n v="1"/>
    <n v="13"/>
    <n v="3"/>
    <n v="2"/>
    <n v="13"/>
    <n v="8"/>
    <n v="4"/>
    <n v="8"/>
  </r>
  <r>
    <x v="8"/>
    <x v="1"/>
    <x v="0"/>
    <x v="278"/>
    <x v="1"/>
    <n v="25"/>
    <n v="2"/>
    <s v="Life Sciences"/>
    <x v="0"/>
    <n v="421"/>
    <x v="3"/>
    <x v="0"/>
    <n v="81"/>
    <n v="2"/>
    <n v="3"/>
    <s v="Research Director"/>
    <x v="1"/>
    <s v="Married"/>
    <x v="300"/>
    <n v="26707"/>
    <n v="3"/>
    <x v="0"/>
    <x v="1"/>
    <n v="17"/>
    <n v="3"/>
    <n v="3"/>
    <n v="80"/>
    <n v="1"/>
    <n v="19"/>
    <n v="2"/>
    <n v="3"/>
    <n v="10"/>
    <n v="8"/>
    <n v="0"/>
    <n v="1"/>
  </r>
  <r>
    <x v="34"/>
    <x v="1"/>
    <x v="2"/>
    <x v="279"/>
    <x v="1"/>
    <n v="1"/>
    <n v="4"/>
    <s v="Life Sciences"/>
    <x v="0"/>
    <n v="422"/>
    <x v="2"/>
    <x v="1"/>
    <n v="32"/>
    <n v="1"/>
    <n v="2"/>
    <s v="Healthcare Representative"/>
    <x v="2"/>
    <s v="Divorced"/>
    <x v="301"/>
    <n v="17056"/>
    <n v="2"/>
    <x v="0"/>
    <x v="0"/>
    <n v="13"/>
    <n v="3"/>
    <n v="4"/>
    <n v="80"/>
    <n v="1"/>
    <n v="12"/>
    <n v="2"/>
    <n v="3"/>
    <n v="5"/>
    <n v="3"/>
    <n v="1"/>
    <n v="2"/>
  </r>
  <r>
    <x v="12"/>
    <x v="1"/>
    <x v="0"/>
    <x v="27"/>
    <x v="1"/>
    <n v="5"/>
    <n v="4"/>
    <s v="Technical Degree"/>
    <x v="0"/>
    <n v="423"/>
    <x v="1"/>
    <x v="1"/>
    <n v="86"/>
    <n v="3"/>
    <n v="1"/>
    <s v="Research Scientist"/>
    <x v="0"/>
    <s v="Married"/>
    <x v="302"/>
    <n v="10077"/>
    <n v="0"/>
    <x v="0"/>
    <x v="0"/>
    <n v="12"/>
    <n v="3"/>
    <n v="3"/>
    <n v="80"/>
    <n v="1"/>
    <n v="6"/>
    <n v="4"/>
    <n v="3"/>
    <n v="5"/>
    <n v="2"/>
    <n v="0"/>
    <n v="3"/>
  </r>
  <r>
    <x v="12"/>
    <x v="1"/>
    <x v="0"/>
    <x v="280"/>
    <x v="2"/>
    <n v="2"/>
    <n v="3"/>
    <s v="Human Resources"/>
    <x v="0"/>
    <n v="424"/>
    <x v="3"/>
    <x v="1"/>
    <n v="62"/>
    <n v="2"/>
    <n v="2"/>
    <s v="Human Resources"/>
    <x v="3"/>
    <s v="Married"/>
    <x v="303"/>
    <n v="17822"/>
    <n v="3"/>
    <x v="0"/>
    <x v="1"/>
    <n v="12"/>
    <n v="3"/>
    <n v="4"/>
    <n v="80"/>
    <n v="0"/>
    <n v="9"/>
    <n v="1"/>
    <n v="3"/>
    <n v="2"/>
    <n v="2"/>
    <n v="1"/>
    <n v="0"/>
  </r>
  <r>
    <x v="28"/>
    <x v="1"/>
    <x v="1"/>
    <x v="281"/>
    <x v="1"/>
    <n v="7"/>
    <n v="3"/>
    <s v="Life Sciences"/>
    <x v="0"/>
    <n v="425"/>
    <x v="3"/>
    <x v="1"/>
    <n v="97"/>
    <n v="3"/>
    <n v="3"/>
    <s v="Laboratory Technician"/>
    <x v="3"/>
    <s v="Divorced"/>
    <x v="304"/>
    <n v="20308"/>
    <n v="1"/>
    <x v="0"/>
    <x v="1"/>
    <n v="18"/>
    <n v="3"/>
    <n v="1"/>
    <n v="80"/>
    <n v="1"/>
    <n v="24"/>
    <n v="2"/>
    <n v="3"/>
    <n v="24"/>
    <n v="9"/>
    <n v="9"/>
    <n v="11"/>
  </r>
  <r>
    <x v="12"/>
    <x v="1"/>
    <x v="0"/>
    <x v="282"/>
    <x v="1"/>
    <n v="2"/>
    <n v="4"/>
    <s v="Life Sciences"/>
    <x v="0"/>
    <n v="426"/>
    <x v="1"/>
    <x v="1"/>
    <n v="32"/>
    <n v="3"/>
    <n v="1"/>
    <s v="Research Scientist"/>
    <x v="0"/>
    <s v="Divorced"/>
    <x v="305"/>
    <n v="7747"/>
    <n v="0"/>
    <x v="0"/>
    <x v="0"/>
    <n v="18"/>
    <n v="3"/>
    <n v="2"/>
    <n v="80"/>
    <n v="1"/>
    <n v="3"/>
    <n v="2"/>
    <n v="1"/>
    <n v="2"/>
    <n v="2"/>
    <n v="2"/>
    <n v="2"/>
  </r>
  <r>
    <x v="3"/>
    <x v="1"/>
    <x v="1"/>
    <x v="283"/>
    <x v="1"/>
    <n v="5"/>
    <n v="4"/>
    <s v="Life Sciences"/>
    <x v="0"/>
    <n v="428"/>
    <x v="2"/>
    <x v="0"/>
    <n v="74"/>
    <n v="3"/>
    <n v="3"/>
    <s v="Manager"/>
    <x v="1"/>
    <s v="Married"/>
    <x v="306"/>
    <n v="23364"/>
    <n v="6"/>
    <x v="0"/>
    <x v="1"/>
    <n v="11"/>
    <n v="3"/>
    <n v="2"/>
    <n v="80"/>
    <n v="2"/>
    <n v="12"/>
    <n v="2"/>
    <n v="3"/>
    <n v="10"/>
    <n v="6"/>
    <n v="8"/>
    <n v="8"/>
  </r>
  <r>
    <x v="22"/>
    <x v="1"/>
    <x v="0"/>
    <x v="284"/>
    <x v="1"/>
    <n v="10"/>
    <n v="1"/>
    <s v="Medical"/>
    <x v="0"/>
    <n v="429"/>
    <x v="1"/>
    <x v="1"/>
    <n v="99"/>
    <n v="3"/>
    <n v="4"/>
    <s v="Manager"/>
    <x v="3"/>
    <s v="Married"/>
    <x v="307"/>
    <n v="5355"/>
    <n v="1"/>
    <x v="0"/>
    <x v="0"/>
    <n v="14"/>
    <n v="3"/>
    <n v="4"/>
    <n v="80"/>
    <n v="0"/>
    <n v="21"/>
    <n v="3"/>
    <n v="3"/>
    <n v="21"/>
    <n v="9"/>
    <n v="11"/>
    <n v="10"/>
  </r>
  <r>
    <x v="23"/>
    <x v="1"/>
    <x v="1"/>
    <x v="285"/>
    <x v="1"/>
    <n v="10"/>
    <n v="4"/>
    <s v="Life Sciences"/>
    <x v="0"/>
    <n v="430"/>
    <x v="1"/>
    <x v="0"/>
    <n v="33"/>
    <n v="3"/>
    <n v="1"/>
    <s v="Laboratory Technician"/>
    <x v="0"/>
    <s v="Single"/>
    <x v="308"/>
    <n v="10675"/>
    <n v="0"/>
    <x v="0"/>
    <x v="1"/>
    <n v="19"/>
    <n v="3"/>
    <n v="1"/>
    <n v="80"/>
    <n v="0"/>
    <n v="9"/>
    <n v="5"/>
    <n v="3"/>
    <n v="8"/>
    <n v="7"/>
    <n v="1"/>
    <n v="7"/>
  </r>
  <r>
    <x v="1"/>
    <x v="1"/>
    <x v="0"/>
    <x v="286"/>
    <x v="1"/>
    <n v="1"/>
    <n v="2"/>
    <s v="Technical Degree"/>
    <x v="0"/>
    <n v="431"/>
    <x v="1"/>
    <x v="0"/>
    <n v="90"/>
    <n v="2"/>
    <n v="4"/>
    <s v="Healthcare Representative"/>
    <x v="2"/>
    <s v="Single"/>
    <x v="309"/>
    <n v="17810"/>
    <n v="7"/>
    <x v="0"/>
    <x v="0"/>
    <n v="12"/>
    <n v="3"/>
    <n v="4"/>
    <n v="80"/>
    <n v="0"/>
    <n v="25"/>
    <n v="2"/>
    <n v="3"/>
    <n v="7"/>
    <n v="1"/>
    <n v="0"/>
    <n v="7"/>
  </r>
  <r>
    <x v="39"/>
    <x v="0"/>
    <x v="0"/>
    <x v="287"/>
    <x v="1"/>
    <n v="8"/>
    <n v="4"/>
    <s v="Medical"/>
    <x v="0"/>
    <n v="433"/>
    <x v="1"/>
    <x v="1"/>
    <n v="85"/>
    <n v="2"/>
    <n v="2"/>
    <s v="Research Scientist"/>
    <x v="1"/>
    <s v="Married"/>
    <x v="132"/>
    <n v="17747"/>
    <n v="2"/>
    <x v="0"/>
    <x v="1"/>
    <n v="15"/>
    <n v="3"/>
    <n v="1"/>
    <n v="80"/>
    <n v="0"/>
    <n v="11"/>
    <n v="3"/>
    <n v="2"/>
    <n v="8"/>
    <n v="2"/>
    <n v="7"/>
    <n v="7"/>
  </r>
  <r>
    <x v="4"/>
    <x v="1"/>
    <x v="0"/>
    <x v="288"/>
    <x v="1"/>
    <n v="5"/>
    <n v="3"/>
    <s v="Life Sciences"/>
    <x v="0"/>
    <n v="434"/>
    <x v="1"/>
    <x v="0"/>
    <n v="85"/>
    <n v="3"/>
    <n v="1"/>
    <s v="Research Scientist"/>
    <x v="1"/>
    <s v="Single"/>
    <x v="310"/>
    <n v="20938"/>
    <n v="1"/>
    <x v="0"/>
    <x v="0"/>
    <n v="12"/>
    <n v="3"/>
    <n v="2"/>
    <n v="80"/>
    <n v="0"/>
    <n v="4"/>
    <n v="2"/>
    <n v="2"/>
    <n v="4"/>
    <n v="3"/>
    <n v="1"/>
    <n v="2"/>
  </r>
  <r>
    <x v="5"/>
    <x v="1"/>
    <x v="0"/>
    <x v="289"/>
    <x v="0"/>
    <n v="8"/>
    <n v="2"/>
    <s v="Technical Degree"/>
    <x v="0"/>
    <n v="436"/>
    <x v="1"/>
    <x v="0"/>
    <n v="65"/>
    <n v="2"/>
    <n v="2"/>
    <s v="Sales Executive"/>
    <x v="1"/>
    <s v="Married"/>
    <x v="311"/>
    <n v="24624"/>
    <n v="1"/>
    <x v="0"/>
    <x v="0"/>
    <n v="11"/>
    <n v="3"/>
    <n v="4"/>
    <n v="80"/>
    <n v="0"/>
    <n v="13"/>
    <n v="2"/>
    <n v="3"/>
    <n v="13"/>
    <n v="12"/>
    <n v="11"/>
    <n v="9"/>
  </r>
  <r>
    <x v="4"/>
    <x v="1"/>
    <x v="0"/>
    <x v="290"/>
    <x v="0"/>
    <n v="2"/>
    <n v="3"/>
    <s v="Life Sciences"/>
    <x v="0"/>
    <n v="437"/>
    <x v="2"/>
    <x v="1"/>
    <n v="74"/>
    <n v="3"/>
    <n v="2"/>
    <s v="Sales Executive"/>
    <x v="2"/>
    <s v="Single"/>
    <x v="312"/>
    <n v="5242"/>
    <n v="1"/>
    <x v="0"/>
    <x v="0"/>
    <n v="11"/>
    <n v="3"/>
    <n v="1"/>
    <n v="80"/>
    <n v="0"/>
    <n v="5"/>
    <n v="3"/>
    <n v="3"/>
    <n v="5"/>
    <n v="4"/>
    <n v="0"/>
    <n v="4"/>
  </r>
  <r>
    <x v="12"/>
    <x v="1"/>
    <x v="0"/>
    <x v="27"/>
    <x v="0"/>
    <n v="7"/>
    <n v="3"/>
    <s v="Marketing"/>
    <x v="0"/>
    <n v="438"/>
    <x v="2"/>
    <x v="1"/>
    <n v="73"/>
    <n v="3"/>
    <n v="2"/>
    <s v="Sales Executive"/>
    <x v="0"/>
    <s v="Divorced"/>
    <x v="313"/>
    <n v="7143"/>
    <n v="4"/>
    <x v="0"/>
    <x v="1"/>
    <n v="12"/>
    <n v="3"/>
    <n v="4"/>
    <n v="80"/>
    <n v="3"/>
    <n v="13"/>
    <n v="3"/>
    <n v="3"/>
    <n v="7"/>
    <n v="7"/>
    <n v="1"/>
    <n v="7"/>
  </r>
  <r>
    <x v="5"/>
    <x v="1"/>
    <x v="0"/>
    <x v="291"/>
    <x v="1"/>
    <n v="2"/>
    <n v="4"/>
    <s v="Medical"/>
    <x v="0"/>
    <n v="439"/>
    <x v="3"/>
    <x v="0"/>
    <n v="74"/>
    <n v="4"/>
    <n v="2"/>
    <s v="Research Scientist"/>
    <x v="0"/>
    <s v="Single"/>
    <x v="314"/>
    <n v="10557"/>
    <n v="7"/>
    <x v="0"/>
    <x v="1"/>
    <n v="16"/>
    <n v="3"/>
    <n v="3"/>
    <n v="80"/>
    <n v="0"/>
    <n v="10"/>
    <n v="0"/>
    <n v="2"/>
    <n v="7"/>
    <n v="7"/>
    <n v="0"/>
    <n v="7"/>
  </r>
  <r>
    <x v="14"/>
    <x v="0"/>
    <x v="0"/>
    <x v="161"/>
    <x v="1"/>
    <n v="2"/>
    <n v="4"/>
    <s v="Medical"/>
    <x v="0"/>
    <n v="440"/>
    <x v="3"/>
    <x v="1"/>
    <n v="84"/>
    <n v="1"/>
    <n v="1"/>
    <s v="Research Scientist"/>
    <x v="0"/>
    <s v="Married"/>
    <x v="315"/>
    <n v="24737"/>
    <n v="5"/>
    <x v="0"/>
    <x v="0"/>
    <n v="13"/>
    <n v="3"/>
    <n v="4"/>
    <n v="80"/>
    <n v="0"/>
    <n v="5"/>
    <n v="4"/>
    <n v="2"/>
    <n v="3"/>
    <n v="2"/>
    <n v="2"/>
    <n v="2"/>
  </r>
  <r>
    <x v="7"/>
    <x v="1"/>
    <x v="0"/>
    <x v="292"/>
    <x v="1"/>
    <n v="28"/>
    <n v="2"/>
    <s v="Medical"/>
    <x v="0"/>
    <n v="441"/>
    <x v="2"/>
    <x v="0"/>
    <n v="64"/>
    <n v="3"/>
    <n v="2"/>
    <s v="Research Scientist"/>
    <x v="0"/>
    <s v="Married"/>
    <x v="316"/>
    <n v="11934"/>
    <n v="1"/>
    <x v="0"/>
    <x v="1"/>
    <n v="13"/>
    <n v="3"/>
    <n v="4"/>
    <n v="80"/>
    <n v="2"/>
    <n v="11"/>
    <n v="2"/>
    <n v="3"/>
    <n v="10"/>
    <n v="8"/>
    <n v="1"/>
    <n v="9"/>
  </r>
  <r>
    <x v="12"/>
    <x v="1"/>
    <x v="1"/>
    <x v="293"/>
    <x v="1"/>
    <n v="7"/>
    <n v="2"/>
    <s v="Life Sciences"/>
    <x v="0"/>
    <n v="442"/>
    <x v="1"/>
    <x v="0"/>
    <n v="48"/>
    <n v="2"/>
    <n v="3"/>
    <s v="Manufacturing Director"/>
    <x v="2"/>
    <s v="Married"/>
    <x v="317"/>
    <n v="14034"/>
    <n v="1"/>
    <x v="0"/>
    <x v="1"/>
    <n v="24"/>
    <n v="4"/>
    <n v="1"/>
    <n v="80"/>
    <n v="1"/>
    <n v="10"/>
    <n v="2"/>
    <n v="3"/>
    <n v="10"/>
    <n v="9"/>
    <n v="8"/>
    <n v="9"/>
  </r>
  <r>
    <x v="22"/>
    <x v="1"/>
    <x v="1"/>
    <x v="294"/>
    <x v="1"/>
    <n v="7"/>
    <n v="2"/>
    <s v="Medical"/>
    <x v="0"/>
    <n v="444"/>
    <x v="1"/>
    <x v="1"/>
    <n v="54"/>
    <n v="2"/>
    <n v="5"/>
    <s v="Manager"/>
    <x v="0"/>
    <s v="Married"/>
    <x v="318"/>
    <n v="21141"/>
    <n v="1"/>
    <x v="0"/>
    <x v="1"/>
    <n v="15"/>
    <n v="3"/>
    <n v="1"/>
    <n v="80"/>
    <n v="1"/>
    <n v="21"/>
    <n v="2"/>
    <n v="3"/>
    <n v="21"/>
    <n v="9"/>
    <n v="13"/>
    <n v="3"/>
  </r>
  <r>
    <x v="22"/>
    <x v="0"/>
    <x v="0"/>
    <x v="295"/>
    <x v="0"/>
    <n v="3"/>
    <n v="2"/>
    <s v="Medical"/>
    <x v="0"/>
    <n v="445"/>
    <x v="2"/>
    <x v="0"/>
    <n v="41"/>
    <n v="3"/>
    <n v="2"/>
    <s v="Sales Executive"/>
    <x v="2"/>
    <s v="Married"/>
    <x v="319"/>
    <n v="17778"/>
    <n v="4"/>
    <x v="0"/>
    <x v="0"/>
    <n v="18"/>
    <n v="3"/>
    <n v="1"/>
    <n v="80"/>
    <n v="0"/>
    <n v="12"/>
    <n v="3"/>
    <n v="2"/>
    <n v="1"/>
    <n v="0"/>
    <n v="0"/>
    <n v="0"/>
  </r>
  <r>
    <x v="3"/>
    <x v="1"/>
    <x v="1"/>
    <x v="296"/>
    <x v="0"/>
    <n v="10"/>
    <n v="3"/>
    <s v="Marketing"/>
    <x v="0"/>
    <n v="446"/>
    <x v="0"/>
    <x v="1"/>
    <n v="46"/>
    <n v="2"/>
    <n v="2"/>
    <s v="Sales Executive"/>
    <x v="0"/>
    <s v="Single"/>
    <x v="320"/>
    <n v="4317"/>
    <n v="3"/>
    <x v="0"/>
    <x v="1"/>
    <n v="14"/>
    <n v="3"/>
    <n v="3"/>
    <n v="80"/>
    <n v="0"/>
    <n v="9"/>
    <n v="6"/>
    <n v="2"/>
    <n v="7"/>
    <n v="7"/>
    <n v="0"/>
    <n v="1"/>
  </r>
  <r>
    <x v="40"/>
    <x v="1"/>
    <x v="0"/>
    <x v="297"/>
    <x v="1"/>
    <n v="5"/>
    <n v="5"/>
    <s v="Life Sciences"/>
    <x v="0"/>
    <n v="447"/>
    <x v="2"/>
    <x v="1"/>
    <n v="42"/>
    <n v="3"/>
    <n v="5"/>
    <s v="Research Director"/>
    <x v="2"/>
    <s v="Married"/>
    <x v="321"/>
    <n v="16375"/>
    <n v="4"/>
    <x v="0"/>
    <x v="1"/>
    <n v="11"/>
    <n v="3"/>
    <n v="2"/>
    <n v="80"/>
    <n v="1"/>
    <n v="21"/>
    <n v="2"/>
    <n v="3"/>
    <n v="3"/>
    <n v="2"/>
    <n v="1"/>
    <n v="1"/>
  </r>
  <r>
    <x v="23"/>
    <x v="1"/>
    <x v="1"/>
    <x v="298"/>
    <x v="1"/>
    <n v="10"/>
    <n v="4"/>
    <s v="Life Sciences"/>
    <x v="0"/>
    <n v="448"/>
    <x v="1"/>
    <x v="0"/>
    <n v="82"/>
    <n v="2"/>
    <n v="2"/>
    <s v="Laboratory Technician"/>
    <x v="2"/>
    <s v="Divorced"/>
    <x v="322"/>
    <n v="6227"/>
    <n v="1"/>
    <x v="0"/>
    <x v="1"/>
    <n v="11"/>
    <n v="3"/>
    <n v="2"/>
    <n v="80"/>
    <n v="1"/>
    <n v="9"/>
    <n v="3"/>
    <n v="4"/>
    <n v="9"/>
    <n v="7"/>
    <n v="0"/>
    <n v="0"/>
  </r>
  <r>
    <x v="4"/>
    <x v="1"/>
    <x v="2"/>
    <x v="299"/>
    <x v="0"/>
    <n v="1"/>
    <n v="1"/>
    <s v="Marketing"/>
    <x v="0"/>
    <n v="449"/>
    <x v="1"/>
    <x v="1"/>
    <n v="73"/>
    <n v="3"/>
    <n v="2"/>
    <s v="Sales Executive"/>
    <x v="1"/>
    <s v="Married"/>
    <x v="323"/>
    <n v="22107"/>
    <n v="0"/>
    <x v="0"/>
    <x v="0"/>
    <n v="13"/>
    <n v="3"/>
    <n v="4"/>
    <n v="80"/>
    <n v="1"/>
    <n v="6"/>
    <n v="0"/>
    <n v="3"/>
    <n v="5"/>
    <n v="4"/>
    <n v="1"/>
    <n v="4"/>
  </r>
  <r>
    <x v="33"/>
    <x v="1"/>
    <x v="1"/>
    <x v="300"/>
    <x v="1"/>
    <n v="20"/>
    <n v="4"/>
    <s v="Life Sciences"/>
    <x v="0"/>
    <n v="450"/>
    <x v="2"/>
    <x v="0"/>
    <n v="31"/>
    <n v="3"/>
    <n v="2"/>
    <s v="Research Scientist"/>
    <x v="2"/>
    <s v="Single"/>
    <x v="324"/>
    <n v="16885"/>
    <n v="3"/>
    <x v="0"/>
    <x v="1"/>
    <n v="12"/>
    <n v="3"/>
    <n v="4"/>
    <n v="80"/>
    <n v="0"/>
    <n v="20"/>
    <n v="4"/>
    <n v="2"/>
    <n v="4"/>
    <n v="3"/>
    <n v="0"/>
    <n v="3"/>
  </r>
  <r>
    <x v="23"/>
    <x v="1"/>
    <x v="0"/>
    <x v="301"/>
    <x v="1"/>
    <n v="7"/>
    <n v="3"/>
    <s v="Life Sciences"/>
    <x v="0"/>
    <n v="451"/>
    <x v="1"/>
    <x v="0"/>
    <n v="43"/>
    <n v="3"/>
    <n v="3"/>
    <s v="Healthcare Representative"/>
    <x v="3"/>
    <s v="Married"/>
    <x v="325"/>
    <n v="9262"/>
    <n v="8"/>
    <x v="0"/>
    <x v="1"/>
    <n v="16"/>
    <n v="3"/>
    <n v="1"/>
    <n v="80"/>
    <n v="1"/>
    <n v="10"/>
    <n v="1"/>
    <n v="2"/>
    <n v="1"/>
    <n v="0"/>
    <n v="0"/>
    <n v="0"/>
  </r>
  <r>
    <x v="28"/>
    <x v="1"/>
    <x v="0"/>
    <x v="302"/>
    <x v="1"/>
    <n v="8"/>
    <n v="4"/>
    <s v="Other"/>
    <x v="0"/>
    <n v="452"/>
    <x v="2"/>
    <x v="1"/>
    <n v="75"/>
    <n v="3"/>
    <n v="2"/>
    <s v="Research Scientist"/>
    <x v="0"/>
    <s v="Married"/>
    <x v="326"/>
    <n v="9278"/>
    <n v="9"/>
    <x v="0"/>
    <x v="1"/>
    <n v="14"/>
    <n v="3"/>
    <n v="1"/>
    <n v="80"/>
    <n v="2"/>
    <n v="12"/>
    <n v="3"/>
    <n v="3"/>
    <n v="10"/>
    <n v="9"/>
    <n v="9"/>
    <n v="8"/>
  </r>
  <r>
    <x v="32"/>
    <x v="1"/>
    <x v="0"/>
    <x v="303"/>
    <x v="0"/>
    <n v="1"/>
    <n v="2"/>
    <s v="Medical"/>
    <x v="0"/>
    <n v="453"/>
    <x v="0"/>
    <x v="1"/>
    <n v="57"/>
    <n v="1"/>
    <n v="2"/>
    <s v="Sales Executive"/>
    <x v="0"/>
    <s v="Married"/>
    <x v="327"/>
    <n v="13273"/>
    <n v="2"/>
    <x v="0"/>
    <x v="0"/>
    <n v="22"/>
    <n v="4"/>
    <n v="3"/>
    <n v="80"/>
    <n v="3"/>
    <n v="6"/>
    <n v="2"/>
    <n v="2"/>
    <n v="4"/>
    <n v="3"/>
    <n v="0"/>
    <n v="2"/>
  </r>
  <r>
    <x v="11"/>
    <x v="0"/>
    <x v="0"/>
    <x v="69"/>
    <x v="1"/>
    <n v="8"/>
    <n v="4"/>
    <s v="Other"/>
    <x v="0"/>
    <n v="454"/>
    <x v="0"/>
    <x v="1"/>
    <n v="77"/>
    <n v="1"/>
    <n v="1"/>
    <s v="Laboratory Technician"/>
    <x v="3"/>
    <s v="Married"/>
    <x v="328"/>
    <n v="4759"/>
    <n v="1"/>
    <x v="0"/>
    <x v="0"/>
    <n v="11"/>
    <n v="3"/>
    <n v="4"/>
    <n v="80"/>
    <n v="0"/>
    <n v="7"/>
    <n v="4"/>
    <n v="2"/>
    <n v="7"/>
    <n v="7"/>
    <n v="0"/>
    <n v="7"/>
  </r>
  <r>
    <x v="11"/>
    <x v="1"/>
    <x v="0"/>
    <x v="304"/>
    <x v="1"/>
    <n v="9"/>
    <n v="5"/>
    <s v="Other"/>
    <x v="0"/>
    <n v="455"/>
    <x v="0"/>
    <x v="1"/>
    <n v="30"/>
    <n v="2"/>
    <n v="1"/>
    <s v="Laboratory Technician"/>
    <x v="0"/>
    <s v="Single"/>
    <x v="329"/>
    <n v="7621"/>
    <n v="0"/>
    <x v="0"/>
    <x v="1"/>
    <n v="17"/>
    <n v="3"/>
    <n v="3"/>
    <n v="80"/>
    <n v="0"/>
    <n v="4"/>
    <n v="2"/>
    <n v="3"/>
    <n v="3"/>
    <n v="2"/>
    <n v="2"/>
    <n v="2"/>
  </r>
  <r>
    <x v="7"/>
    <x v="1"/>
    <x v="0"/>
    <x v="305"/>
    <x v="0"/>
    <n v="5"/>
    <n v="3"/>
    <s v="Marketing"/>
    <x v="0"/>
    <n v="456"/>
    <x v="2"/>
    <x v="0"/>
    <n v="30"/>
    <n v="2"/>
    <n v="2"/>
    <s v="Sales Executive"/>
    <x v="2"/>
    <s v="Divorced"/>
    <x v="330"/>
    <n v="5431"/>
    <n v="1"/>
    <x v="0"/>
    <x v="1"/>
    <n v="13"/>
    <n v="3"/>
    <n v="3"/>
    <n v="80"/>
    <n v="3"/>
    <n v="10"/>
    <n v="2"/>
    <n v="3"/>
    <n v="10"/>
    <n v="9"/>
    <n v="1"/>
    <n v="2"/>
  </r>
  <r>
    <x v="4"/>
    <x v="1"/>
    <x v="0"/>
    <x v="306"/>
    <x v="0"/>
    <n v="8"/>
    <n v="4"/>
    <s v="Marketing"/>
    <x v="0"/>
    <n v="458"/>
    <x v="0"/>
    <x v="0"/>
    <n v="56"/>
    <n v="3"/>
    <n v="2"/>
    <s v="Sales Executive"/>
    <x v="1"/>
    <s v="Married"/>
    <x v="331"/>
    <n v="3415"/>
    <n v="1"/>
    <x v="0"/>
    <x v="1"/>
    <n v="18"/>
    <n v="3"/>
    <n v="1"/>
    <n v="80"/>
    <n v="1"/>
    <n v="8"/>
    <n v="3"/>
    <n v="3"/>
    <n v="8"/>
    <n v="7"/>
    <n v="0"/>
    <n v="7"/>
  </r>
  <r>
    <x v="2"/>
    <x v="1"/>
    <x v="0"/>
    <x v="307"/>
    <x v="1"/>
    <n v="5"/>
    <n v="2"/>
    <s v="Medical"/>
    <x v="0"/>
    <n v="460"/>
    <x v="2"/>
    <x v="1"/>
    <n v="61"/>
    <n v="3"/>
    <n v="2"/>
    <s v="Manufacturing Director"/>
    <x v="0"/>
    <s v="Divorced"/>
    <x v="136"/>
    <n v="23177"/>
    <n v="7"/>
    <x v="0"/>
    <x v="1"/>
    <n v="16"/>
    <n v="3"/>
    <n v="3"/>
    <n v="80"/>
    <n v="2"/>
    <n v="8"/>
    <n v="2"/>
    <n v="2"/>
    <n v="6"/>
    <n v="2"/>
    <n v="0"/>
    <n v="4"/>
  </r>
  <r>
    <x v="8"/>
    <x v="1"/>
    <x v="0"/>
    <x v="308"/>
    <x v="1"/>
    <n v="15"/>
    <n v="2"/>
    <s v="Life Sciences"/>
    <x v="0"/>
    <n v="461"/>
    <x v="1"/>
    <x v="1"/>
    <n v="92"/>
    <n v="2"/>
    <n v="3"/>
    <s v="Research Director"/>
    <x v="0"/>
    <s v="Divorced"/>
    <x v="332"/>
    <n v="15682"/>
    <n v="0"/>
    <x v="0"/>
    <x v="0"/>
    <n v="14"/>
    <n v="3"/>
    <n v="2"/>
    <n v="80"/>
    <n v="1"/>
    <n v="12"/>
    <n v="3"/>
    <n v="3"/>
    <n v="11"/>
    <n v="10"/>
    <n v="2"/>
    <n v="9"/>
  </r>
  <r>
    <x v="12"/>
    <x v="1"/>
    <x v="0"/>
    <x v="269"/>
    <x v="1"/>
    <n v="7"/>
    <n v="4"/>
    <s v="Medical"/>
    <x v="0"/>
    <n v="462"/>
    <x v="1"/>
    <x v="0"/>
    <n v="39"/>
    <n v="3"/>
    <n v="3"/>
    <s v="Manufacturing Director"/>
    <x v="0"/>
    <s v="Single"/>
    <x v="333"/>
    <n v="25713"/>
    <n v="1"/>
    <x v="0"/>
    <x v="0"/>
    <n v="14"/>
    <n v="3"/>
    <n v="3"/>
    <n v="80"/>
    <n v="0"/>
    <n v="11"/>
    <n v="2"/>
    <n v="2"/>
    <n v="11"/>
    <n v="9"/>
    <n v="4"/>
    <n v="10"/>
  </r>
  <r>
    <x v="11"/>
    <x v="1"/>
    <x v="0"/>
    <x v="309"/>
    <x v="0"/>
    <n v="10"/>
    <n v="1"/>
    <s v="Marketing"/>
    <x v="0"/>
    <n v="463"/>
    <x v="2"/>
    <x v="0"/>
    <n v="39"/>
    <n v="2"/>
    <n v="2"/>
    <s v="Sales Executive"/>
    <x v="1"/>
    <s v="Divorced"/>
    <x v="334"/>
    <n v="11866"/>
    <n v="1"/>
    <x v="0"/>
    <x v="0"/>
    <n v="14"/>
    <n v="3"/>
    <n v="1"/>
    <n v="80"/>
    <n v="2"/>
    <n v="7"/>
    <n v="2"/>
    <n v="3"/>
    <n v="7"/>
    <n v="7"/>
    <n v="1"/>
    <n v="7"/>
  </r>
  <r>
    <x v="10"/>
    <x v="1"/>
    <x v="0"/>
    <x v="310"/>
    <x v="1"/>
    <n v="5"/>
    <n v="4"/>
    <s v="Technical Degree"/>
    <x v="0"/>
    <n v="464"/>
    <x v="1"/>
    <x v="1"/>
    <n v="62"/>
    <n v="3"/>
    <n v="3"/>
    <s v="Manufacturing Director"/>
    <x v="1"/>
    <s v="Single"/>
    <x v="335"/>
    <n v="18264"/>
    <n v="0"/>
    <x v="0"/>
    <x v="1"/>
    <n v="13"/>
    <n v="3"/>
    <n v="4"/>
    <n v="80"/>
    <n v="0"/>
    <n v="17"/>
    <n v="5"/>
    <n v="3"/>
    <n v="16"/>
    <n v="6"/>
    <n v="0"/>
    <n v="13"/>
  </r>
  <r>
    <x v="30"/>
    <x v="1"/>
    <x v="0"/>
    <x v="311"/>
    <x v="1"/>
    <n v="26"/>
    <n v="1"/>
    <s v="Life Sciences"/>
    <x v="0"/>
    <n v="465"/>
    <x v="1"/>
    <x v="1"/>
    <n v="83"/>
    <n v="3"/>
    <n v="1"/>
    <s v="Research Scientist"/>
    <x v="0"/>
    <s v="Divorced"/>
    <x v="336"/>
    <n v="16092"/>
    <n v="1"/>
    <x v="0"/>
    <x v="1"/>
    <n v="12"/>
    <n v="3"/>
    <n v="3"/>
    <n v="80"/>
    <n v="2"/>
    <n v="4"/>
    <n v="2"/>
    <n v="2"/>
    <n v="4"/>
    <n v="2"/>
    <n v="0"/>
    <n v="2"/>
  </r>
  <r>
    <x v="0"/>
    <x v="1"/>
    <x v="0"/>
    <x v="312"/>
    <x v="1"/>
    <n v="6"/>
    <n v="3"/>
    <s v="Medical"/>
    <x v="0"/>
    <n v="466"/>
    <x v="2"/>
    <x v="1"/>
    <n v="95"/>
    <n v="2"/>
    <n v="2"/>
    <s v="Manufacturing Director"/>
    <x v="1"/>
    <s v="Single"/>
    <x v="337"/>
    <n v="10110"/>
    <n v="6"/>
    <x v="0"/>
    <x v="0"/>
    <n v="15"/>
    <n v="3"/>
    <n v="4"/>
    <n v="80"/>
    <n v="0"/>
    <n v="8"/>
    <n v="3"/>
    <n v="3"/>
    <n v="5"/>
    <n v="4"/>
    <n v="1"/>
    <n v="2"/>
  </r>
  <r>
    <x v="40"/>
    <x v="1"/>
    <x v="1"/>
    <x v="311"/>
    <x v="0"/>
    <n v="4"/>
    <n v="1"/>
    <s v="Medical"/>
    <x v="0"/>
    <n v="467"/>
    <x v="0"/>
    <x v="1"/>
    <n v="99"/>
    <n v="3"/>
    <n v="2"/>
    <s v="Sales Representative"/>
    <x v="2"/>
    <s v="Single"/>
    <x v="338"/>
    <n v="25751"/>
    <n v="3"/>
    <x v="0"/>
    <x v="1"/>
    <n v="19"/>
    <n v="3"/>
    <n v="1"/>
    <n v="80"/>
    <n v="0"/>
    <n v="5"/>
    <n v="3"/>
    <n v="3"/>
    <n v="0"/>
    <n v="0"/>
    <n v="0"/>
    <n v="0"/>
  </r>
  <r>
    <x v="19"/>
    <x v="1"/>
    <x v="0"/>
    <x v="313"/>
    <x v="1"/>
    <n v="23"/>
    <n v="5"/>
    <s v="Life Sciences"/>
    <x v="0"/>
    <n v="468"/>
    <x v="3"/>
    <x v="0"/>
    <n v="44"/>
    <n v="3"/>
    <n v="4"/>
    <s v="Research Director"/>
    <x v="0"/>
    <s v="Single"/>
    <x v="339"/>
    <n v="15901"/>
    <n v="2"/>
    <x v="0"/>
    <x v="1"/>
    <n v="14"/>
    <n v="3"/>
    <n v="2"/>
    <n v="80"/>
    <n v="0"/>
    <n v="16"/>
    <n v="2"/>
    <n v="3"/>
    <n v="1"/>
    <n v="0"/>
    <n v="0"/>
    <n v="0"/>
  </r>
  <r>
    <x v="11"/>
    <x v="1"/>
    <x v="2"/>
    <x v="75"/>
    <x v="0"/>
    <n v="2"/>
    <n v="3"/>
    <s v="Life Sciences"/>
    <x v="0"/>
    <n v="469"/>
    <x v="2"/>
    <x v="1"/>
    <n v="61"/>
    <n v="3"/>
    <n v="2"/>
    <s v="Sales Executive"/>
    <x v="2"/>
    <s v="Married"/>
    <x v="340"/>
    <n v="16928"/>
    <n v="1"/>
    <x v="0"/>
    <x v="1"/>
    <n v="14"/>
    <n v="3"/>
    <n v="1"/>
    <n v="80"/>
    <n v="1"/>
    <n v="4"/>
    <n v="3"/>
    <n v="2"/>
    <n v="4"/>
    <n v="3"/>
    <n v="0"/>
    <n v="2"/>
  </r>
  <r>
    <x v="19"/>
    <x v="1"/>
    <x v="0"/>
    <x v="314"/>
    <x v="2"/>
    <n v="2"/>
    <n v="1"/>
    <s v="Technical Degree"/>
    <x v="0"/>
    <n v="470"/>
    <x v="1"/>
    <x v="1"/>
    <n v="52"/>
    <n v="3"/>
    <n v="1"/>
    <s v="Human Resources"/>
    <x v="2"/>
    <s v="Divorced"/>
    <x v="341"/>
    <n v="24017"/>
    <n v="0"/>
    <x v="0"/>
    <x v="0"/>
    <n v="11"/>
    <n v="3"/>
    <n v="3"/>
    <n v="80"/>
    <n v="1"/>
    <n v="4"/>
    <n v="5"/>
    <n v="3"/>
    <n v="3"/>
    <n v="2"/>
    <n v="1"/>
    <n v="0"/>
  </r>
  <r>
    <x v="5"/>
    <x v="1"/>
    <x v="0"/>
    <x v="315"/>
    <x v="1"/>
    <n v="2"/>
    <n v="3"/>
    <s v="Medical"/>
    <x v="0"/>
    <n v="471"/>
    <x v="1"/>
    <x v="0"/>
    <n v="75"/>
    <n v="3"/>
    <n v="1"/>
    <s v="Laboratory Technician"/>
    <x v="1"/>
    <s v="Married"/>
    <x v="342"/>
    <n v="3956"/>
    <n v="1"/>
    <x v="0"/>
    <x v="1"/>
    <n v="13"/>
    <n v="3"/>
    <n v="3"/>
    <n v="80"/>
    <n v="1"/>
    <n v="8"/>
    <n v="4"/>
    <n v="3"/>
    <n v="8"/>
    <n v="0"/>
    <n v="0"/>
    <n v="7"/>
  </r>
  <r>
    <x v="26"/>
    <x v="1"/>
    <x v="0"/>
    <x v="89"/>
    <x v="0"/>
    <n v="29"/>
    <n v="1"/>
    <s v="Medical"/>
    <x v="0"/>
    <n v="473"/>
    <x v="3"/>
    <x v="0"/>
    <n v="91"/>
    <n v="3"/>
    <n v="3"/>
    <s v="Manager"/>
    <x v="2"/>
    <s v="Married"/>
    <x v="343"/>
    <n v="23978"/>
    <n v="3"/>
    <x v="0"/>
    <x v="1"/>
    <n v="21"/>
    <n v="4"/>
    <n v="2"/>
    <n v="80"/>
    <n v="1"/>
    <n v="15"/>
    <n v="3"/>
    <n v="1"/>
    <n v="0"/>
    <n v="0"/>
    <n v="0"/>
    <n v="0"/>
  </r>
  <r>
    <x v="2"/>
    <x v="1"/>
    <x v="0"/>
    <x v="316"/>
    <x v="1"/>
    <n v="6"/>
    <n v="3"/>
    <s v="Medical"/>
    <x v="0"/>
    <n v="474"/>
    <x v="1"/>
    <x v="1"/>
    <n v="51"/>
    <n v="4"/>
    <n v="2"/>
    <s v="Research Scientist"/>
    <x v="3"/>
    <s v="Divorced"/>
    <x v="344"/>
    <n v="17001"/>
    <n v="4"/>
    <x v="0"/>
    <x v="0"/>
    <n v="13"/>
    <n v="3"/>
    <n v="1"/>
    <n v="80"/>
    <n v="2"/>
    <n v="13"/>
    <n v="2"/>
    <n v="3"/>
    <n v="7"/>
    <n v="7"/>
    <n v="6"/>
    <n v="7"/>
  </r>
  <r>
    <x v="7"/>
    <x v="1"/>
    <x v="2"/>
    <x v="317"/>
    <x v="0"/>
    <n v="25"/>
    <n v="2"/>
    <s v="Technical Degree"/>
    <x v="0"/>
    <n v="475"/>
    <x v="2"/>
    <x v="0"/>
    <n v="85"/>
    <n v="3"/>
    <n v="2"/>
    <s v="Sales Executive"/>
    <x v="2"/>
    <s v="Married"/>
    <x v="345"/>
    <n v="6069"/>
    <n v="7"/>
    <x v="0"/>
    <x v="0"/>
    <n v="12"/>
    <n v="3"/>
    <n v="2"/>
    <n v="80"/>
    <n v="1"/>
    <n v="4"/>
    <n v="2"/>
    <n v="4"/>
    <n v="2"/>
    <n v="2"/>
    <n v="2"/>
    <n v="2"/>
  </r>
  <r>
    <x v="25"/>
    <x v="1"/>
    <x v="0"/>
    <x v="143"/>
    <x v="0"/>
    <n v="1"/>
    <n v="3"/>
    <s v="Life Sciences"/>
    <x v="0"/>
    <n v="476"/>
    <x v="1"/>
    <x v="1"/>
    <n v="57"/>
    <n v="3"/>
    <n v="2"/>
    <s v="Sales Executive"/>
    <x v="2"/>
    <s v="Married"/>
    <x v="346"/>
    <n v="20156"/>
    <n v="1"/>
    <x v="0"/>
    <x v="1"/>
    <n v="17"/>
    <n v="3"/>
    <n v="2"/>
    <n v="80"/>
    <n v="1"/>
    <n v="8"/>
    <n v="3"/>
    <n v="3"/>
    <n v="8"/>
    <n v="7"/>
    <n v="7"/>
    <n v="7"/>
  </r>
  <r>
    <x v="19"/>
    <x v="1"/>
    <x v="0"/>
    <x v="318"/>
    <x v="1"/>
    <n v="2"/>
    <n v="4"/>
    <s v="Other"/>
    <x v="0"/>
    <n v="477"/>
    <x v="3"/>
    <x v="1"/>
    <n v="98"/>
    <n v="2"/>
    <n v="2"/>
    <s v="Healthcare Representative"/>
    <x v="0"/>
    <s v="Single"/>
    <x v="347"/>
    <n v="17078"/>
    <n v="3"/>
    <x v="0"/>
    <x v="1"/>
    <n v="23"/>
    <n v="4"/>
    <n v="2"/>
    <n v="80"/>
    <n v="0"/>
    <n v="14"/>
    <n v="6"/>
    <n v="3"/>
    <n v="1"/>
    <n v="0"/>
    <n v="0"/>
    <n v="0"/>
  </r>
  <r>
    <x v="18"/>
    <x v="0"/>
    <x v="1"/>
    <x v="319"/>
    <x v="0"/>
    <n v="1"/>
    <n v="1"/>
    <s v="Technical Degree"/>
    <x v="0"/>
    <n v="478"/>
    <x v="3"/>
    <x v="0"/>
    <n v="99"/>
    <n v="2"/>
    <n v="1"/>
    <s v="Sales Representative"/>
    <x v="1"/>
    <s v="Single"/>
    <x v="348"/>
    <n v="9150"/>
    <n v="1"/>
    <x v="0"/>
    <x v="0"/>
    <n v="11"/>
    <n v="3"/>
    <n v="3"/>
    <n v="80"/>
    <n v="0"/>
    <n v="3"/>
    <n v="3"/>
    <n v="3"/>
    <n v="3"/>
    <n v="2"/>
    <n v="1"/>
    <n v="2"/>
  </r>
  <r>
    <x v="9"/>
    <x v="1"/>
    <x v="2"/>
    <x v="320"/>
    <x v="0"/>
    <n v="1"/>
    <n v="5"/>
    <s v="Medical"/>
    <x v="0"/>
    <n v="479"/>
    <x v="2"/>
    <x v="0"/>
    <n v="45"/>
    <n v="3"/>
    <n v="2"/>
    <s v="Sales Executive"/>
    <x v="0"/>
    <s v="Single"/>
    <x v="349"/>
    <n v="15276"/>
    <n v="4"/>
    <x v="0"/>
    <x v="1"/>
    <n v="15"/>
    <n v="3"/>
    <n v="2"/>
    <n v="80"/>
    <n v="0"/>
    <n v="7"/>
    <n v="6"/>
    <n v="3"/>
    <n v="1"/>
    <n v="0"/>
    <n v="0"/>
    <n v="0"/>
  </r>
  <r>
    <x v="9"/>
    <x v="1"/>
    <x v="1"/>
    <x v="85"/>
    <x v="0"/>
    <n v="3"/>
    <n v="4"/>
    <s v="Medical"/>
    <x v="0"/>
    <n v="481"/>
    <x v="3"/>
    <x v="1"/>
    <n v="48"/>
    <n v="2"/>
    <n v="3"/>
    <s v="Sales Executive"/>
    <x v="0"/>
    <s v="Married"/>
    <x v="350"/>
    <n v="7246"/>
    <n v="4"/>
    <x v="0"/>
    <x v="1"/>
    <n v="11"/>
    <n v="3"/>
    <n v="1"/>
    <n v="80"/>
    <n v="1"/>
    <n v="16"/>
    <n v="2"/>
    <n v="3"/>
    <n v="13"/>
    <n v="9"/>
    <n v="1"/>
    <n v="12"/>
  </r>
  <r>
    <x v="38"/>
    <x v="1"/>
    <x v="0"/>
    <x v="321"/>
    <x v="1"/>
    <n v="1"/>
    <n v="4"/>
    <s v="Medical"/>
    <x v="0"/>
    <n v="482"/>
    <x v="2"/>
    <x v="1"/>
    <n v="88"/>
    <n v="3"/>
    <n v="2"/>
    <s v="Healthcare Representative"/>
    <x v="2"/>
    <s v="Married"/>
    <x v="351"/>
    <n v="2967"/>
    <n v="2"/>
    <x v="0"/>
    <x v="1"/>
    <n v="11"/>
    <n v="3"/>
    <n v="3"/>
    <n v="80"/>
    <n v="0"/>
    <n v="15"/>
    <n v="2"/>
    <n v="3"/>
    <n v="3"/>
    <n v="2"/>
    <n v="1"/>
    <n v="2"/>
  </r>
  <r>
    <x v="32"/>
    <x v="1"/>
    <x v="0"/>
    <x v="322"/>
    <x v="1"/>
    <n v="10"/>
    <n v="4"/>
    <s v="Life Sciences"/>
    <x v="0"/>
    <n v="483"/>
    <x v="2"/>
    <x v="0"/>
    <n v="46"/>
    <n v="4"/>
    <n v="1"/>
    <s v="Laboratory Technician"/>
    <x v="2"/>
    <s v="Married"/>
    <x v="352"/>
    <n v="22495"/>
    <n v="3"/>
    <x v="0"/>
    <x v="0"/>
    <n v="13"/>
    <n v="3"/>
    <n v="3"/>
    <n v="80"/>
    <n v="1"/>
    <n v="10"/>
    <n v="3"/>
    <n v="3"/>
    <n v="7"/>
    <n v="7"/>
    <n v="1"/>
    <n v="7"/>
  </r>
  <r>
    <x v="18"/>
    <x v="1"/>
    <x v="2"/>
    <x v="33"/>
    <x v="0"/>
    <n v="9"/>
    <n v="2"/>
    <s v="Medical"/>
    <x v="0"/>
    <n v="484"/>
    <x v="3"/>
    <x v="1"/>
    <n v="39"/>
    <n v="3"/>
    <n v="1"/>
    <s v="Sales Representative"/>
    <x v="0"/>
    <s v="Single"/>
    <x v="353"/>
    <n v="2851"/>
    <n v="1"/>
    <x v="0"/>
    <x v="1"/>
    <n v="24"/>
    <n v="4"/>
    <n v="3"/>
    <n v="80"/>
    <n v="0"/>
    <n v="3"/>
    <n v="3"/>
    <n v="2"/>
    <n v="3"/>
    <n v="2"/>
    <n v="2"/>
    <n v="2"/>
  </r>
  <r>
    <x v="3"/>
    <x v="0"/>
    <x v="0"/>
    <x v="323"/>
    <x v="0"/>
    <n v="5"/>
    <n v="3"/>
    <s v="Marketing"/>
    <x v="0"/>
    <n v="485"/>
    <x v="2"/>
    <x v="0"/>
    <n v="34"/>
    <n v="3"/>
    <n v="1"/>
    <s v="Sales Representative"/>
    <x v="2"/>
    <s v="Single"/>
    <x v="354"/>
    <n v="9150"/>
    <n v="1"/>
    <x v="0"/>
    <x v="0"/>
    <n v="13"/>
    <n v="3"/>
    <n v="2"/>
    <n v="80"/>
    <n v="0"/>
    <n v="1"/>
    <n v="2"/>
    <n v="3"/>
    <n v="1"/>
    <n v="0"/>
    <n v="0"/>
    <n v="0"/>
  </r>
  <r>
    <x v="2"/>
    <x v="1"/>
    <x v="0"/>
    <x v="324"/>
    <x v="1"/>
    <n v="10"/>
    <n v="3"/>
    <s v="Medical"/>
    <x v="0"/>
    <n v="486"/>
    <x v="1"/>
    <x v="0"/>
    <n v="98"/>
    <n v="3"/>
    <n v="1"/>
    <s v="Laboratory Technician"/>
    <x v="3"/>
    <s v="Married"/>
    <x v="138"/>
    <n v="17663"/>
    <n v="6"/>
    <x v="0"/>
    <x v="1"/>
    <n v="20"/>
    <n v="4"/>
    <n v="2"/>
    <n v="80"/>
    <n v="1"/>
    <n v="17"/>
    <n v="3"/>
    <n v="3"/>
    <n v="5"/>
    <n v="4"/>
    <n v="0"/>
    <n v="3"/>
  </r>
  <r>
    <x v="21"/>
    <x v="1"/>
    <x v="2"/>
    <x v="325"/>
    <x v="1"/>
    <n v="7"/>
    <n v="4"/>
    <s v="Medical"/>
    <x v="0"/>
    <n v="487"/>
    <x v="1"/>
    <x v="0"/>
    <n v="30"/>
    <n v="3"/>
    <n v="2"/>
    <s v="Manufacturing Director"/>
    <x v="2"/>
    <s v="Married"/>
    <x v="355"/>
    <n v="16044"/>
    <n v="2"/>
    <x v="0"/>
    <x v="1"/>
    <n v="14"/>
    <n v="3"/>
    <n v="3"/>
    <n v="80"/>
    <n v="0"/>
    <n v="7"/>
    <n v="2"/>
    <n v="4"/>
    <n v="1"/>
    <n v="0"/>
    <n v="0"/>
    <n v="0"/>
  </r>
  <r>
    <x v="0"/>
    <x v="0"/>
    <x v="1"/>
    <x v="326"/>
    <x v="0"/>
    <n v="4"/>
    <n v="3"/>
    <s v="Marketing"/>
    <x v="0"/>
    <n v="488"/>
    <x v="3"/>
    <x v="1"/>
    <n v="56"/>
    <n v="3"/>
    <n v="2"/>
    <s v="Sales Executive"/>
    <x v="1"/>
    <s v="Single"/>
    <x v="356"/>
    <n v="9558"/>
    <n v="1"/>
    <x v="0"/>
    <x v="1"/>
    <n v="18"/>
    <n v="3"/>
    <n v="3"/>
    <n v="80"/>
    <n v="0"/>
    <n v="8"/>
    <n v="5"/>
    <n v="3"/>
    <n v="8"/>
    <n v="7"/>
    <n v="7"/>
    <n v="7"/>
  </r>
  <r>
    <x v="24"/>
    <x v="1"/>
    <x v="0"/>
    <x v="327"/>
    <x v="1"/>
    <n v="10"/>
    <n v="3"/>
    <s v="Technical Degree"/>
    <x v="0"/>
    <n v="491"/>
    <x v="2"/>
    <x v="1"/>
    <n v="100"/>
    <n v="2"/>
    <n v="3"/>
    <s v="Healthcare Representative"/>
    <x v="0"/>
    <s v="Single"/>
    <x v="357"/>
    <n v="2755"/>
    <n v="6"/>
    <x v="0"/>
    <x v="1"/>
    <n v="15"/>
    <n v="3"/>
    <n v="4"/>
    <n v="80"/>
    <n v="0"/>
    <n v="20"/>
    <n v="2"/>
    <n v="3"/>
    <n v="4"/>
    <n v="3"/>
    <n v="1"/>
    <n v="3"/>
  </r>
  <r>
    <x v="32"/>
    <x v="0"/>
    <x v="0"/>
    <x v="328"/>
    <x v="0"/>
    <n v="22"/>
    <n v="2"/>
    <s v="Marketing"/>
    <x v="0"/>
    <n v="492"/>
    <x v="1"/>
    <x v="1"/>
    <n v="68"/>
    <n v="2"/>
    <n v="2"/>
    <s v="Sales Executive"/>
    <x v="2"/>
    <s v="Married"/>
    <x v="358"/>
    <n v="6110"/>
    <n v="2"/>
    <x v="0"/>
    <x v="0"/>
    <n v="12"/>
    <n v="3"/>
    <n v="1"/>
    <n v="80"/>
    <n v="2"/>
    <n v="8"/>
    <n v="6"/>
    <n v="3"/>
    <n v="6"/>
    <n v="4"/>
    <n v="1"/>
    <n v="0"/>
  </r>
  <r>
    <x v="12"/>
    <x v="1"/>
    <x v="0"/>
    <x v="47"/>
    <x v="1"/>
    <n v="9"/>
    <n v="4"/>
    <s v="Life Sciences"/>
    <x v="0"/>
    <n v="493"/>
    <x v="1"/>
    <x v="1"/>
    <n v="42"/>
    <n v="2"/>
    <n v="1"/>
    <s v="Research Scientist"/>
    <x v="1"/>
    <s v="Single"/>
    <x v="210"/>
    <n v="7551"/>
    <n v="0"/>
    <x v="0"/>
    <x v="0"/>
    <n v="16"/>
    <n v="3"/>
    <n v="4"/>
    <n v="80"/>
    <n v="0"/>
    <n v="3"/>
    <n v="5"/>
    <n v="3"/>
    <n v="2"/>
    <n v="2"/>
    <n v="2"/>
    <n v="2"/>
  </r>
  <r>
    <x v="18"/>
    <x v="0"/>
    <x v="0"/>
    <x v="329"/>
    <x v="0"/>
    <n v="12"/>
    <n v="3"/>
    <s v="Life Sciences"/>
    <x v="0"/>
    <n v="494"/>
    <x v="1"/>
    <x v="0"/>
    <n v="90"/>
    <n v="4"/>
    <n v="1"/>
    <s v="Sales Representative"/>
    <x v="1"/>
    <s v="Single"/>
    <x v="359"/>
    <n v="25422"/>
    <n v="1"/>
    <x v="0"/>
    <x v="1"/>
    <n v="15"/>
    <n v="3"/>
    <n v="4"/>
    <n v="80"/>
    <n v="0"/>
    <n v="1"/>
    <n v="0"/>
    <n v="3"/>
    <n v="1"/>
    <n v="0"/>
    <n v="0"/>
    <n v="0"/>
  </r>
  <r>
    <x v="11"/>
    <x v="1"/>
    <x v="0"/>
    <x v="330"/>
    <x v="1"/>
    <n v="23"/>
    <n v="3"/>
    <s v="Life Sciences"/>
    <x v="0"/>
    <n v="495"/>
    <x v="2"/>
    <x v="1"/>
    <n v="54"/>
    <n v="3"/>
    <n v="1"/>
    <s v="Research Scientist"/>
    <x v="0"/>
    <s v="Single"/>
    <x v="360"/>
    <n v="18168"/>
    <n v="9"/>
    <x v="0"/>
    <x v="1"/>
    <n v="16"/>
    <n v="3"/>
    <n v="4"/>
    <n v="80"/>
    <n v="0"/>
    <n v="6"/>
    <n v="4"/>
    <n v="3"/>
    <n v="3"/>
    <n v="2"/>
    <n v="1"/>
    <n v="2"/>
  </r>
  <r>
    <x v="10"/>
    <x v="1"/>
    <x v="0"/>
    <x v="331"/>
    <x v="1"/>
    <n v="9"/>
    <n v="4"/>
    <s v="Life Sciences"/>
    <x v="0"/>
    <n v="496"/>
    <x v="1"/>
    <x v="1"/>
    <n v="97"/>
    <n v="2"/>
    <n v="2"/>
    <s v="Healthcare Representative"/>
    <x v="1"/>
    <s v="Single"/>
    <x v="361"/>
    <n v="19394"/>
    <n v="9"/>
    <x v="0"/>
    <x v="1"/>
    <n v="19"/>
    <n v="3"/>
    <n v="3"/>
    <n v="80"/>
    <n v="0"/>
    <n v="10"/>
    <n v="5"/>
    <n v="3"/>
    <n v="1"/>
    <n v="1"/>
    <n v="0"/>
    <n v="0"/>
  </r>
  <r>
    <x v="4"/>
    <x v="1"/>
    <x v="0"/>
    <x v="198"/>
    <x v="1"/>
    <n v="1"/>
    <n v="2"/>
    <s v="Medical"/>
    <x v="0"/>
    <n v="497"/>
    <x v="2"/>
    <x v="1"/>
    <n v="82"/>
    <n v="3"/>
    <n v="1"/>
    <s v="Laboratory Technician"/>
    <x v="1"/>
    <s v="Divorced"/>
    <x v="362"/>
    <n v="17881"/>
    <n v="1"/>
    <x v="0"/>
    <x v="1"/>
    <n v="11"/>
    <n v="3"/>
    <n v="2"/>
    <n v="80"/>
    <n v="1"/>
    <n v="5"/>
    <n v="2"/>
    <n v="3"/>
    <n v="5"/>
    <n v="2"/>
    <n v="0"/>
    <n v="4"/>
  </r>
  <r>
    <x v="14"/>
    <x v="1"/>
    <x v="0"/>
    <x v="332"/>
    <x v="0"/>
    <n v="9"/>
    <n v="4"/>
    <s v="Life Sciences"/>
    <x v="0"/>
    <n v="498"/>
    <x v="0"/>
    <x v="1"/>
    <n v="92"/>
    <n v="3"/>
    <n v="2"/>
    <s v="Sales Executive"/>
    <x v="0"/>
    <s v="Single"/>
    <x v="363"/>
    <n v="20750"/>
    <n v="1"/>
    <x v="0"/>
    <x v="1"/>
    <n v="16"/>
    <n v="3"/>
    <n v="4"/>
    <n v="80"/>
    <n v="0"/>
    <n v="7"/>
    <n v="1"/>
    <n v="3"/>
    <n v="7"/>
    <n v="5"/>
    <n v="0"/>
    <n v="7"/>
  </r>
  <r>
    <x v="1"/>
    <x v="1"/>
    <x v="0"/>
    <x v="184"/>
    <x v="1"/>
    <n v="7"/>
    <n v="3"/>
    <s v="Other"/>
    <x v="0"/>
    <n v="499"/>
    <x v="0"/>
    <x v="1"/>
    <n v="31"/>
    <n v="2"/>
    <n v="3"/>
    <s v="Healthcare Representative"/>
    <x v="2"/>
    <s v="Single"/>
    <x v="364"/>
    <n v="12066"/>
    <n v="8"/>
    <x v="0"/>
    <x v="1"/>
    <n v="24"/>
    <n v="4"/>
    <n v="3"/>
    <n v="80"/>
    <n v="0"/>
    <n v="26"/>
    <n v="2"/>
    <n v="3"/>
    <n v="5"/>
    <n v="2"/>
    <n v="0"/>
    <n v="0"/>
  </r>
  <r>
    <x v="31"/>
    <x v="1"/>
    <x v="0"/>
    <x v="333"/>
    <x v="0"/>
    <n v="14"/>
    <n v="2"/>
    <s v="Life Sciences"/>
    <x v="0"/>
    <n v="500"/>
    <x v="1"/>
    <x v="0"/>
    <n v="87"/>
    <n v="3"/>
    <n v="2"/>
    <s v="Sales Executive"/>
    <x v="0"/>
    <s v="Married"/>
    <x v="365"/>
    <n v="14862"/>
    <n v="4"/>
    <x v="0"/>
    <x v="1"/>
    <n v="11"/>
    <n v="3"/>
    <n v="3"/>
    <n v="80"/>
    <n v="1"/>
    <n v="18"/>
    <n v="2"/>
    <n v="2"/>
    <n v="7"/>
    <n v="7"/>
    <n v="0"/>
    <n v="7"/>
  </r>
  <r>
    <x v="9"/>
    <x v="1"/>
    <x v="0"/>
    <x v="334"/>
    <x v="1"/>
    <n v="2"/>
    <n v="3"/>
    <s v="Life Sciences"/>
    <x v="0"/>
    <n v="501"/>
    <x v="2"/>
    <x v="0"/>
    <n v="96"/>
    <n v="3"/>
    <n v="1"/>
    <s v="Research Scientist"/>
    <x v="2"/>
    <s v="Married"/>
    <x v="366"/>
    <n v="11868"/>
    <n v="4"/>
    <x v="0"/>
    <x v="1"/>
    <n v="13"/>
    <n v="3"/>
    <n v="2"/>
    <n v="80"/>
    <n v="1"/>
    <n v="6"/>
    <n v="3"/>
    <n v="3"/>
    <n v="2"/>
    <n v="2"/>
    <n v="2"/>
    <n v="2"/>
  </r>
  <r>
    <x v="13"/>
    <x v="0"/>
    <x v="2"/>
    <x v="335"/>
    <x v="0"/>
    <n v="19"/>
    <n v="3"/>
    <s v="Marketing"/>
    <x v="0"/>
    <n v="502"/>
    <x v="3"/>
    <x v="1"/>
    <n v="67"/>
    <n v="4"/>
    <n v="2"/>
    <s v="Sales Executive"/>
    <x v="0"/>
    <s v="Single"/>
    <x v="367"/>
    <n v="4652"/>
    <n v="8"/>
    <x v="0"/>
    <x v="0"/>
    <n v="13"/>
    <n v="3"/>
    <n v="2"/>
    <n v="80"/>
    <n v="0"/>
    <n v="9"/>
    <n v="3"/>
    <n v="2"/>
    <n v="5"/>
    <n v="2"/>
    <n v="0"/>
    <n v="4"/>
  </r>
  <r>
    <x v="27"/>
    <x v="1"/>
    <x v="0"/>
    <x v="235"/>
    <x v="1"/>
    <n v="2"/>
    <n v="3"/>
    <s v="Life Sciences"/>
    <x v="0"/>
    <n v="505"/>
    <x v="1"/>
    <x v="0"/>
    <n v="97"/>
    <n v="3"/>
    <n v="4"/>
    <s v="Manager"/>
    <x v="0"/>
    <s v="Single"/>
    <x v="368"/>
    <n v="23258"/>
    <n v="2"/>
    <x v="0"/>
    <x v="0"/>
    <n v="13"/>
    <n v="3"/>
    <n v="3"/>
    <n v="80"/>
    <n v="0"/>
    <n v="30"/>
    <n v="2"/>
    <n v="3"/>
    <n v="5"/>
    <n v="4"/>
    <n v="1"/>
    <n v="2"/>
  </r>
  <r>
    <x v="17"/>
    <x v="1"/>
    <x v="0"/>
    <x v="336"/>
    <x v="0"/>
    <n v="10"/>
    <n v="4"/>
    <s v="Marketing"/>
    <x v="0"/>
    <n v="507"/>
    <x v="2"/>
    <x v="0"/>
    <n v="77"/>
    <n v="3"/>
    <n v="2"/>
    <s v="Sales Executive"/>
    <x v="2"/>
    <s v="Divorced"/>
    <x v="369"/>
    <n v="5915"/>
    <n v="1"/>
    <x v="0"/>
    <x v="0"/>
    <n v="12"/>
    <n v="3"/>
    <n v="4"/>
    <n v="80"/>
    <n v="1"/>
    <n v="5"/>
    <n v="2"/>
    <n v="4"/>
    <n v="5"/>
    <n v="2"/>
    <n v="0"/>
    <n v="3"/>
  </r>
  <r>
    <x v="7"/>
    <x v="1"/>
    <x v="0"/>
    <x v="337"/>
    <x v="0"/>
    <n v="2"/>
    <n v="1"/>
    <s v="Technical Degree"/>
    <x v="0"/>
    <n v="508"/>
    <x v="1"/>
    <x v="1"/>
    <n v="72"/>
    <n v="3"/>
    <n v="1"/>
    <s v="Sales Representative"/>
    <x v="1"/>
    <s v="Married"/>
    <x v="370"/>
    <n v="17434"/>
    <n v="1"/>
    <x v="0"/>
    <x v="1"/>
    <n v="18"/>
    <n v="3"/>
    <n v="1"/>
    <n v="80"/>
    <n v="1"/>
    <n v="1"/>
    <n v="3"/>
    <n v="3"/>
    <n v="1"/>
    <n v="0"/>
    <n v="0"/>
    <n v="0"/>
  </r>
  <r>
    <x v="25"/>
    <x v="0"/>
    <x v="1"/>
    <x v="328"/>
    <x v="1"/>
    <n v="3"/>
    <n v="1"/>
    <s v="Technical Degree"/>
    <x v="0"/>
    <n v="510"/>
    <x v="1"/>
    <x v="1"/>
    <n v="73"/>
    <n v="3"/>
    <n v="1"/>
    <s v="Research Scientist"/>
    <x v="3"/>
    <s v="Single"/>
    <x v="371"/>
    <n v="6582"/>
    <n v="0"/>
    <x v="0"/>
    <x v="1"/>
    <n v="22"/>
    <n v="4"/>
    <n v="3"/>
    <n v="80"/>
    <n v="0"/>
    <n v="7"/>
    <n v="2"/>
    <n v="3"/>
    <n v="6"/>
    <n v="4"/>
    <n v="0"/>
    <n v="4"/>
  </r>
  <r>
    <x v="15"/>
    <x v="1"/>
    <x v="0"/>
    <x v="338"/>
    <x v="1"/>
    <n v="11"/>
    <n v="3"/>
    <s v="Medical"/>
    <x v="0"/>
    <n v="511"/>
    <x v="3"/>
    <x v="0"/>
    <n v="43"/>
    <n v="3"/>
    <n v="1"/>
    <s v="Research Scientist"/>
    <x v="1"/>
    <s v="Married"/>
    <x v="372"/>
    <n v="24440"/>
    <n v="1"/>
    <x v="0"/>
    <x v="1"/>
    <n v="13"/>
    <n v="3"/>
    <n v="4"/>
    <n v="80"/>
    <n v="1"/>
    <n v="2"/>
    <n v="1"/>
    <n v="3"/>
    <n v="2"/>
    <n v="1"/>
    <n v="1"/>
    <n v="2"/>
  </r>
  <r>
    <x v="9"/>
    <x v="1"/>
    <x v="0"/>
    <x v="339"/>
    <x v="0"/>
    <n v="2"/>
    <n v="2"/>
    <s v="Medical"/>
    <x v="0"/>
    <n v="513"/>
    <x v="0"/>
    <x v="1"/>
    <n v="61"/>
    <n v="2"/>
    <n v="3"/>
    <s v="Sales Executive"/>
    <x v="2"/>
    <s v="Married"/>
    <x v="373"/>
    <n v="3809"/>
    <n v="1"/>
    <x v="0"/>
    <x v="1"/>
    <n v="13"/>
    <n v="3"/>
    <n v="2"/>
    <n v="80"/>
    <n v="2"/>
    <n v="10"/>
    <n v="2"/>
    <n v="3"/>
    <n v="10"/>
    <n v="9"/>
    <n v="9"/>
    <n v="0"/>
  </r>
  <r>
    <x v="7"/>
    <x v="0"/>
    <x v="1"/>
    <x v="40"/>
    <x v="1"/>
    <n v="4"/>
    <n v="3"/>
    <s v="Technical Degree"/>
    <x v="0"/>
    <n v="514"/>
    <x v="1"/>
    <x v="1"/>
    <n v="40"/>
    <n v="3"/>
    <n v="1"/>
    <s v="Research Scientist"/>
    <x v="0"/>
    <s v="Single"/>
    <x v="374"/>
    <n v="3427"/>
    <n v="9"/>
    <x v="0"/>
    <x v="0"/>
    <n v="23"/>
    <n v="4"/>
    <n v="3"/>
    <n v="80"/>
    <n v="0"/>
    <n v="3"/>
    <n v="4"/>
    <n v="3"/>
    <n v="1"/>
    <n v="0"/>
    <n v="0"/>
    <n v="0"/>
  </r>
  <r>
    <x v="2"/>
    <x v="1"/>
    <x v="0"/>
    <x v="340"/>
    <x v="1"/>
    <n v="14"/>
    <n v="3"/>
    <s v="Life Sciences"/>
    <x v="0"/>
    <n v="515"/>
    <x v="2"/>
    <x v="0"/>
    <n v="95"/>
    <n v="3"/>
    <n v="1"/>
    <s v="Laboratory Technician"/>
    <x v="3"/>
    <s v="Divorced"/>
    <x v="375"/>
    <n v="26914"/>
    <n v="1"/>
    <x v="0"/>
    <x v="1"/>
    <n v="12"/>
    <n v="3"/>
    <n v="3"/>
    <n v="80"/>
    <n v="1"/>
    <n v="18"/>
    <n v="2"/>
    <n v="2"/>
    <n v="18"/>
    <n v="7"/>
    <n v="12"/>
    <n v="17"/>
  </r>
  <r>
    <x v="32"/>
    <x v="1"/>
    <x v="0"/>
    <x v="341"/>
    <x v="0"/>
    <n v="2"/>
    <n v="2"/>
    <s v="Marketing"/>
    <x v="0"/>
    <n v="516"/>
    <x v="2"/>
    <x v="0"/>
    <n v="46"/>
    <n v="3"/>
    <n v="2"/>
    <s v="Sales Executive"/>
    <x v="1"/>
    <s v="Divorced"/>
    <x v="376"/>
    <n v="22553"/>
    <n v="7"/>
    <x v="0"/>
    <x v="1"/>
    <n v="12"/>
    <n v="3"/>
    <n v="3"/>
    <n v="80"/>
    <n v="2"/>
    <n v="8"/>
    <n v="5"/>
    <n v="3"/>
    <n v="5"/>
    <n v="4"/>
    <n v="1"/>
    <n v="3"/>
  </r>
  <r>
    <x v="19"/>
    <x v="1"/>
    <x v="0"/>
    <x v="140"/>
    <x v="1"/>
    <n v="1"/>
    <n v="4"/>
    <s v="Life Sciences"/>
    <x v="0"/>
    <n v="517"/>
    <x v="0"/>
    <x v="0"/>
    <n v="95"/>
    <n v="3"/>
    <n v="1"/>
    <s v="Laboratory Technician"/>
    <x v="3"/>
    <s v="Divorced"/>
    <x v="377"/>
    <n v="20490"/>
    <n v="3"/>
    <x v="0"/>
    <x v="1"/>
    <n v="16"/>
    <n v="3"/>
    <n v="2"/>
    <n v="80"/>
    <n v="1"/>
    <n v="8"/>
    <n v="5"/>
    <n v="3"/>
    <n v="5"/>
    <n v="2"/>
    <n v="1"/>
    <n v="2"/>
  </r>
  <r>
    <x v="2"/>
    <x v="1"/>
    <x v="0"/>
    <x v="342"/>
    <x v="1"/>
    <n v="10"/>
    <n v="4"/>
    <s v="Life Sciences"/>
    <x v="0"/>
    <n v="518"/>
    <x v="1"/>
    <x v="1"/>
    <n v="49"/>
    <n v="3"/>
    <n v="2"/>
    <s v="Manufacturing Director"/>
    <x v="1"/>
    <s v="Single"/>
    <x v="378"/>
    <n v="21123"/>
    <n v="2"/>
    <x v="0"/>
    <x v="0"/>
    <n v="12"/>
    <n v="3"/>
    <n v="4"/>
    <n v="80"/>
    <n v="0"/>
    <n v="18"/>
    <n v="2"/>
    <n v="2"/>
    <n v="1"/>
    <n v="0"/>
    <n v="0"/>
    <n v="1"/>
  </r>
  <r>
    <x v="23"/>
    <x v="1"/>
    <x v="0"/>
    <x v="343"/>
    <x v="1"/>
    <n v="12"/>
    <n v="3"/>
    <s v="Life Sciences"/>
    <x v="0"/>
    <n v="520"/>
    <x v="3"/>
    <x v="1"/>
    <n v="59"/>
    <n v="2"/>
    <n v="4"/>
    <s v="Research Director"/>
    <x v="1"/>
    <s v="Divorced"/>
    <x v="379"/>
    <n v="4345"/>
    <n v="1"/>
    <x v="0"/>
    <x v="1"/>
    <n v="11"/>
    <n v="3"/>
    <n v="3"/>
    <n v="80"/>
    <n v="1"/>
    <n v="25"/>
    <n v="3"/>
    <n v="3"/>
    <n v="25"/>
    <n v="10"/>
    <n v="3"/>
    <n v="9"/>
  </r>
  <r>
    <x v="32"/>
    <x v="1"/>
    <x v="0"/>
    <x v="267"/>
    <x v="1"/>
    <n v="2"/>
    <n v="3"/>
    <s v="Medical"/>
    <x v="0"/>
    <n v="521"/>
    <x v="0"/>
    <x v="0"/>
    <n v="78"/>
    <n v="2"/>
    <n v="2"/>
    <s v="Laboratory Technician"/>
    <x v="2"/>
    <s v="Married"/>
    <x v="380"/>
    <n v="13436"/>
    <n v="6"/>
    <x v="0"/>
    <x v="1"/>
    <n v="22"/>
    <n v="4"/>
    <n v="2"/>
    <n v="80"/>
    <n v="1"/>
    <n v="20"/>
    <n v="3"/>
    <n v="3"/>
    <n v="1"/>
    <n v="0"/>
    <n v="0"/>
    <n v="0"/>
  </r>
  <r>
    <x v="33"/>
    <x v="1"/>
    <x v="0"/>
    <x v="344"/>
    <x v="1"/>
    <n v="5"/>
    <n v="2"/>
    <s v="Medical"/>
    <x v="0"/>
    <n v="522"/>
    <x v="3"/>
    <x v="1"/>
    <n v="86"/>
    <n v="3"/>
    <n v="5"/>
    <s v="Research Director"/>
    <x v="3"/>
    <s v="Married"/>
    <x v="381"/>
    <n v="8509"/>
    <n v="4"/>
    <x v="0"/>
    <x v="1"/>
    <n v="11"/>
    <n v="3"/>
    <n v="3"/>
    <n v="80"/>
    <n v="1"/>
    <n v="24"/>
    <n v="4"/>
    <n v="2"/>
    <n v="4"/>
    <n v="2"/>
    <n v="1"/>
    <n v="2"/>
  </r>
  <r>
    <x v="13"/>
    <x v="1"/>
    <x v="2"/>
    <x v="345"/>
    <x v="0"/>
    <n v="4"/>
    <n v="4"/>
    <s v="Marketing"/>
    <x v="0"/>
    <n v="523"/>
    <x v="1"/>
    <x v="0"/>
    <n v="72"/>
    <n v="3"/>
    <n v="2"/>
    <s v="Sales Executive"/>
    <x v="2"/>
    <s v="Married"/>
    <x v="382"/>
    <n v="12740"/>
    <n v="9"/>
    <x v="0"/>
    <x v="1"/>
    <n v="15"/>
    <n v="3"/>
    <n v="1"/>
    <n v="80"/>
    <n v="1"/>
    <n v="6"/>
    <n v="3"/>
    <n v="3"/>
    <n v="3"/>
    <n v="2"/>
    <n v="1"/>
    <n v="2"/>
  </r>
  <r>
    <x v="12"/>
    <x v="1"/>
    <x v="0"/>
    <x v="346"/>
    <x v="1"/>
    <n v="7"/>
    <n v="2"/>
    <s v="Medical"/>
    <x v="0"/>
    <n v="524"/>
    <x v="0"/>
    <x v="0"/>
    <n v="31"/>
    <n v="3"/>
    <n v="2"/>
    <s v="Manufacturing Director"/>
    <x v="3"/>
    <s v="Married"/>
    <x v="383"/>
    <n v="4156"/>
    <n v="1"/>
    <x v="0"/>
    <x v="1"/>
    <n v="12"/>
    <n v="3"/>
    <n v="2"/>
    <n v="80"/>
    <n v="1"/>
    <n v="13"/>
    <n v="5"/>
    <n v="1"/>
    <n v="13"/>
    <n v="10"/>
    <n v="3"/>
    <n v="12"/>
  </r>
  <r>
    <x v="23"/>
    <x v="1"/>
    <x v="1"/>
    <x v="177"/>
    <x v="1"/>
    <n v="21"/>
    <n v="3"/>
    <s v="Medical"/>
    <x v="0"/>
    <n v="525"/>
    <x v="2"/>
    <x v="1"/>
    <n v="61"/>
    <n v="3"/>
    <n v="1"/>
    <s v="Laboratory Technician"/>
    <x v="0"/>
    <s v="Married"/>
    <x v="384"/>
    <n v="15238"/>
    <n v="7"/>
    <x v="0"/>
    <x v="1"/>
    <n v="20"/>
    <n v="4"/>
    <n v="1"/>
    <n v="80"/>
    <n v="1"/>
    <n v="8"/>
    <n v="1"/>
    <n v="3"/>
    <n v="3"/>
    <n v="2"/>
    <n v="1"/>
    <n v="2"/>
  </r>
  <r>
    <x v="23"/>
    <x v="1"/>
    <x v="0"/>
    <x v="347"/>
    <x v="1"/>
    <n v="8"/>
    <n v="4"/>
    <s v="Other"/>
    <x v="0"/>
    <n v="526"/>
    <x v="1"/>
    <x v="0"/>
    <n v="74"/>
    <n v="3"/>
    <n v="2"/>
    <s v="Healthcare Representative"/>
    <x v="2"/>
    <s v="Divorced"/>
    <x v="385"/>
    <n v="2227"/>
    <n v="4"/>
    <x v="0"/>
    <x v="0"/>
    <n v="14"/>
    <n v="3"/>
    <n v="4"/>
    <n v="80"/>
    <n v="0"/>
    <n v="8"/>
    <n v="3"/>
    <n v="3"/>
    <n v="5"/>
    <n v="2"/>
    <n v="0"/>
    <n v="2"/>
  </r>
  <r>
    <x v="36"/>
    <x v="1"/>
    <x v="0"/>
    <x v="348"/>
    <x v="0"/>
    <n v="4"/>
    <n v="2"/>
    <s v="Life Sciences"/>
    <x v="0"/>
    <n v="527"/>
    <x v="0"/>
    <x v="0"/>
    <n v="99"/>
    <n v="2"/>
    <n v="2"/>
    <s v="Sales Executive"/>
    <x v="0"/>
    <s v="Single"/>
    <x v="386"/>
    <n v="12090"/>
    <n v="1"/>
    <x v="0"/>
    <x v="0"/>
    <n v="11"/>
    <n v="3"/>
    <n v="2"/>
    <n v="80"/>
    <n v="0"/>
    <n v="5"/>
    <n v="3"/>
    <n v="3"/>
    <n v="5"/>
    <n v="4"/>
    <n v="1"/>
    <n v="3"/>
  </r>
  <r>
    <x v="2"/>
    <x v="1"/>
    <x v="2"/>
    <x v="349"/>
    <x v="1"/>
    <n v="25"/>
    <n v="5"/>
    <s v="Medical"/>
    <x v="0"/>
    <n v="529"/>
    <x v="0"/>
    <x v="0"/>
    <n v="72"/>
    <n v="3"/>
    <n v="2"/>
    <s v="Research Scientist"/>
    <x v="2"/>
    <s v="Married"/>
    <x v="387"/>
    <n v="23866"/>
    <n v="3"/>
    <x v="0"/>
    <x v="0"/>
    <n v="15"/>
    <n v="3"/>
    <n v="1"/>
    <n v="80"/>
    <n v="2"/>
    <n v="15"/>
    <n v="2"/>
    <n v="3"/>
    <n v="13"/>
    <n v="11"/>
    <n v="10"/>
    <n v="7"/>
  </r>
  <r>
    <x v="12"/>
    <x v="1"/>
    <x v="0"/>
    <x v="334"/>
    <x v="1"/>
    <n v="1"/>
    <n v="2"/>
    <s v="Life Sciences"/>
    <x v="0"/>
    <n v="530"/>
    <x v="2"/>
    <x v="1"/>
    <n v="98"/>
    <n v="2"/>
    <n v="1"/>
    <s v="Laboratory Technician"/>
    <x v="3"/>
    <s v="Married"/>
    <x v="388"/>
    <n v="16193"/>
    <n v="1"/>
    <x v="0"/>
    <x v="1"/>
    <n v="12"/>
    <n v="3"/>
    <n v="3"/>
    <n v="80"/>
    <n v="1"/>
    <n v="4"/>
    <n v="3"/>
    <n v="3"/>
    <n v="4"/>
    <n v="2"/>
    <n v="3"/>
    <n v="2"/>
  </r>
  <r>
    <x v="22"/>
    <x v="1"/>
    <x v="1"/>
    <x v="21"/>
    <x v="1"/>
    <n v="1"/>
    <n v="1"/>
    <s v="Life Sciences"/>
    <x v="0"/>
    <n v="531"/>
    <x v="0"/>
    <x v="1"/>
    <n v="52"/>
    <n v="3"/>
    <n v="5"/>
    <s v="Manager"/>
    <x v="2"/>
    <s v="Divorced"/>
    <x v="389"/>
    <n v="8213"/>
    <n v="1"/>
    <x v="0"/>
    <x v="0"/>
    <n v="14"/>
    <n v="3"/>
    <n v="3"/>
    <n v="80"/>
    <n v="1"/>
    <n v="21"/>
    <n v="3"/>
    <n v="3"/>
    <n v="21"/>
    <n v="8"/>
    <n v="1"/>
    <n v="6"/>
  </r>
  <r>
    <x v="29"/>
    <x v="1"/>
    <x v="1"/>
    <x v="277"/>
    <x v="0"/>
    <n v="6"/>
    <n v="3"/>
    <s v="Life Sciences"/>
    <x v="0"/>
    <n v="532"/>
    <x v="1"/>
    <x v="0"/>
    <n v="86"/>
    <n v="4"/>
    <n v="4"/>
    <s v="Sales Executive"/>
    <x v="3"/>
    <s v="Married"/>
    <x v="390"/>
    <n v="18256"/>
    <n v="9"/>
    <x v="0"/>
    <x v="1"/>
    <n v="11"/>
    <n v="3"/>
    <n v="4"/>
    <n v="80"/>
    <n v="3"/>
    <n v="36"/>
    <n v="0"/>
    <n v="2"/>
    <n v="7"/>
    <n v="7"/>
    <n v="7"/>
    <n v="7"/>
  </r>
  <r>
    <x v="7"/>
    <x v="1"/>
    <x v="0"/>
    <x v="72"/>
    <x v="0"/>
    <n v="12"/>
    <n v="3"/>
    <s v="Technical Degree"/>
    <x v="0"/>
    <n v="533"/>
    <x v="0"/>
    <x v="0"/>
    <n v="83"/>
    <n v="3"/>
    <n v="2"/>
    <s v="Sales Executive"/>
    <x v="2"/>
    <s v="Single"/>
    <x v="391"/>
    <n v="19558"/>
    <n v="0"/>
    <x v="0"/>
    <x v="1"/>
    <n v="11"/>
    <n v="3"/>
    <n v="2"/>
    <n v="80"/>
    <n v="0"/>
    <n v="6"/>
    <n v="6"/>
    <n v="3"/>
    <n v="5"/>
    <n v="4"/>
    <n v="4"/>
    <n v="4"/>
  </r>
  <r>
    <x v="0"/>
    <x v="1"/>
    <x v="0"/>
    <x v="350"/>
    <x v="0"/>
    <n v="1"/>
    <n v="3"/>
    <s v="Marketing"/>
    <x v="0"/>
    <n v="534"/>
    <x v="0"/>
    <x v="1"/>
    <n v="49"/>
    <n v="4"/>
    <n v="3"/>
    <s v="Sales Executive"/>
    <x v="3"/>
    <s v="Married"/>
    <x v="392"/>
    <n v="19566"/>
    <n v="1"/>
    <x v="0"/>
    <x v="1"/>
    <n v="16"/>
    <n v="3"/>
    <n v="3"/>
    <n v="80"/>
    <n v="1"/>
    <n v="10"/>
    <n v="2"/>
    <n v="3"/>
    <n v="10"/>
    <n v="7"/>
    <n v="0"/>
    <n v="7"/>
  </r>
  <r>
    <x v="14"/>
    <x v="1"/>
    <x v="0"/>
    <x v="220"/>
    <x v="1"/>
    <n v="17"/>
    <n v="2"/>
    <s v="Medical"/>
    <x v="0"/>
    <n v="536"/>
    <x v="1"/>
    <x v="1"/>
    <n v="79"/>
    <n v="3"/>
    <n v="2"/>
    <s v="Laboratory Technician"/>
    <x v="3"/>
    <s v="Divorced"/>
    <x v="393"/>
    <n v="13535"/>
    <n v="1"/>
    <x v="0"/>
    <x v="1"/>
    <n v="12"/>
    <n v="3"/>
    <n v="4"/>
    <n v="80"/>
    <n v="1"/>
    <n v="10"/>
    <n v="2"/>
    <n v="3"/>
    <n v="10"/>
    <n v="0"/>
    <n v="1"/>
    <n v="8"/>
  </r>
  <r>
    <x v="36"/>
    <x v="0"/>
    <x v="0"/>
    <x v="259"/>
    <x v="1"/>
    <n v="3"/>
    <n v="3"/>
    <s v="Medical"/>
    <x v="0"/>
    <n v="538"/>
    <x v="3"/>
    <x v="1"/>
    <n v="91"/>
    <n v="3"/>
    <n v="1"/>
    <s v="Laboratory Technician"/>
    <x v="3"/>
    <s v="Married"/>
    <x v="394"/>
    <n v="9396"/>
    <n v="5"/>
    <x v="0"/>
    <x v="1"/>
    <n v="13"/>
    <n v="3"/>
    <n v="3"/>
    <n v="80"/>
    <n v="1"/>
    <n v="6"/>
    <n v="5"/>
    <n v="3"/>
    <n v="2"/>
    <n v="2"/>
    <n v="0"/>
    <n v="2"/>
  </r>
  <r>
    <x v="39"/>
    <x v="1"/>
    <x v="0"/>
    <x v="207"/>
    <x v="1"/>
    <n v="3"/>
    <n v="3"/>
    <s v="Medical"/>
    <x v="0"/>
    <n v="543"/>
    <x v="2"/>
    <x v="1"/>
    <n v="39"/>
    <n v="2"/>
    <n v="3"/>
    <s v="Manufacturing Director"/>
    <x v="2"/>
    <s v="Married"/>
    <x v="395"/>
    <n v="19609"/>
    <n v="2"/>
    <x v="0"/>
    <x v="0"/>
    <n v="14"/>
    <n v="3"/>
    <n v="3"/>
    <n v="80"/>
    <n v="0"/>
    <n v="28"/>
    <n v="4"/>
    <n v="3"/>
    <n v="5"/>
    <n v="4"/>
    <n v="0"/>
    <n v="4"/>
  </r>
  <r>
    <x v="28"/>
    <x v="1"/>
    <x v="0"/>
    <x v="282"/>
    <x v="1"/>
    <n v="10"/>
    <n v="2"/>
    <s v="Life Sciences"/>
    <x v="0"/>
    <n v="544"/>
    <x v="3"/>
    <x v="1"/>
    <n v="69"/>
    <n v="3"/>
    <n v="1"/>
    <s v="Research Scientist"/>
    <x v="0"/>
    <s v="Married"/>
    <x v="396"/>
    <n v="9655"/>
    <n v="3"/>
    <x v="0"/>
    <x v="1"/>
    <n v="21"/>
    <n v="4"/>
    <n v="4"/>
    <n v="80"/>
    <n v="2"/>
    <n v="8"/>
    <n v="3"/>
    <n v="2"/>
    <n v="2"/>
    <n v="2"/>
    <n v="0"/>
    <n v="2"/>
  </r>
  <r>
    <x v="39"/>
    <x v="1"/>
    <x v="0"/>
    <x v="351"/>
    <x v="1"/>
    <n v="4"/>
    <n v="2"/>
    <s v="Life Sciences"/>
    <x v="0"/>
    <n v="546"/>
    <x v="2"/>
    <x v="0"/>
    <n v="30"/>
    <n v="3"/>
    <n v="4"/>
    <s v="Manager"/>
    <x v="0"/>
    <s v="Married"/>
    <x v="397"/>
    <n v="10310"/>
    <n v="2"/>
    <x v="0"/>
    <x v="1"/>
    <n v="13"/>
    <n v="3"/>
    <n v="4"/>
    <n v="80"/>
    <n v="0"/>
    <n v="31"/>
    <n v="2"/>
    <n v="1"/>
    <n v="5"/>
    <n v="2"/>
    <n v="1"/>
    <n v="4"/>
  </r>
  <r>
    <x v="19"/>
    <x v="1"/>
    <x v="1"/>
    <x v="211"/>
    <x v="1"/>
    <n v="29"/>
    <n v="2"/>
    <s v="Life Sciences"/>
    <x v="0"/>
    <n v="547"/>
    <x v="3"/>
    <x v="0"/>
    <n v="92"/>
    <n v="3"/>
    <n v="2"/>
    <s v="Research Scientist"/>
    <x v="2"/>
    <s v="Divorced"/>
    <x v="398"/>
    <n v="12932"/>
    <n v="2"/>
    <x v="0"/>
    <x v="1"/>
    <n v="11"/>
    <n v="3"/>
    <n v="2"/>
    <n v="80"/>
    <n v="1"/>
    <n v="19"/>
    <n v="3"/>
    <n v="3"/>
    <n v="5"/>
    <n v="4"/>
    <n v="0"/>
    <n v="2"/>
  </r>
  <r>
    <x v="7"/>
    <x v="1"/>
    <x v="0"/>
    <x v="352"/>
    <x v="1"/>
    <n v="2"/>
    <n v="3"/>
    <s v="Life Sciences"/>
    <x v="0"/>
    <n v="548"/>
    <x v="1"/>
    <x v="0"/>
    <n v="43"/>
    <n v="1"/>
    <n v="2"/>
    <s v="Manufacturing Director"/>
    <x v="0"/>
    <s v="Single"/>
    <x v="399"/>
    <n v="24793"/>
    <n v="2"/>
    <x v="0"/>
    <x v="1"/>
    <n v="20"/>
    <n v="4"/>
    <n v="3"/>
    <n v="80"/>
    <n v="0"/>
    <n v="11"/>
    <n v="2"/>
    <n v="3"/>
    <n v="5"/>
    <n v="4"/>
    <n v="0"/>
    <n v="2"/>
  </r>
  <r>
    <x v="42"/>
    <x v="1"/>
    <x v="0"/>
    <x v="353"/>
    <x v="1"/>
    <n v="7"/>
    <n v="3"/>
    <s v="Life Sciences"/>
    <x v="0"/>
    <n v="549"/>
    <x v="3"/>
    <x v="0"/>
    <n v="41"/>
    <n v="3"/>
    <n v="5"/>
    <s v="Manager"/>
    <x v="3"/>
    <s v="Married"/>
    <x v="400"/>
    <n v="3854"/>
    <n v="5"/>
    <x v="0"/>
    <x v="1"/>
    <n v="11"/>
    <n v="3"/>
    <n v="4"/>
    <n v="80"/>
    <n v="0"/>
    <n v="33"/>
    <n v="5"/>
    <n v="1"/>
    <n v="29"/>
    <n v="8"/>
    <n v="11"/>
    <n v="10"/>
  </r>
  <r>
    <x v="21"/>
    <x v="1"/>
    <x v="0"/>
    <x v="354"/>
    <x v="1"/>
    <n v="18"/>
    <n v="3"/>
    <s v="Medical"/>
    <x v="0"/>
    <n v="550"/>
    <x v="1"/>
    <x v="0"/>
    <n v="87"/>
    <n v="3"/>
    <n v="2"/>
    <s v="Manufacturing Director"/>
    <x v="2"/>
    <s v="Divorced"/>
    <x v="401"/>
    <n v="26314"/>
    <n v="2"/>
    <x v="0"/>
    <x v="1"/>
    <n v="14"/>
    <n v="3"/>
    <n v="3"/>
    <n v="80"/>
    <n v="1"/>
    <n v="19"/>
    <n v="5"/>
    <n v="2"/>
    <n v="10"/>
    <n v="7"/>
    <n v="0"/>
    <n v="8"/>
  </r>
  <r>
    <x v="19"/>
    <x v="1"/>
    <x v="1"/>
    <x v="355"/>
    <x v="1"/>
    <n v="28"/>
    <n v="4"/>
    <s v="Technical Degree"/>
    <x v="0"/>
    <n v="551"/>
    <x v="2"/>
    <x v="0"/>
    <n v="88"/>
    <n v="2"/>
    <n v="2"/>
    <s v="Healthcare Representative"/>
    <x v="0"/>
    <s v="Married"/>
    <x v="402"/>
    <n v="4386"/>
    <n v="0"/>
    <x v="0"/>
    <x v="1"/>
    <n v="11"/>
    <n v="3"/>
    <n v="4"/>
    <n v="80"/>
    <n v="3"/>
    <n v="7"/>
    <n v="4"/>
    <n v="4"/>
    <n v="6"/>
    <n v="5"/>
    <n v="0"/>
    <n v="4"/>
  </r>
  <r>
    <x v="17"/>
    <x v="0"/>
    <x v="0"/>
    <x v="356"/>
    <x v="0"/>
    <n v="1"/>
    <n v="1"/>
    <s v="Technical Degree"/>
    <x v="0"/>
    <n v="554"/>
    <x v="3"/>
    <x v="0"/>
    <n v="62"/>
    <n v="3"/>
    <n v="1"/>
    <s v="Sales Representative"/>
    <x v="1"/>
    <s v="Single"/>
    <x v="403"/>
    <n v="21972"/>
    <n v="1"/>
    <x v="0"/>
    <x v="0"/>
    <n v="16"/>
    <n v="3"/>
    <n v="2"/>
    <n v="80"/>
    <n v="0"/>
    <n v="6"/>
    <n v="4"/>
    <n v="3"/>
    <n v="5"/>
    <n v="3"/>
    <n v="1"/>
    <n v="4"/>
  </r>
  <r>
    <x v="13"/>
    <x v="0"/>
    <x v="1"/>
    <x v="357"/>
    <x v="0"/>
    <n v="6"/>
    <n v="2"/>
    <s v="Marketing"/>
    <x v="0"/>
    <n v="555"/>
    <x v="2"/>
    <x v="0"/>
    <n v="33"/>
    <n v="1"/>
    <n v="1"/>
    <s v="Sales Representative"/>
    <x v="2"/>
    <s v="Divorced"/>
    <x v="404"/>
    <n v="12253"/>
    <n v="0"/>
    <x v="0"/>
    <x v="1"/>
    <n v="16"/>
    <n v="3"/>
    <n v="4"/>
    <n v="80"/>
    <n v="1"/>
    <n v="3"/>
    <n v="3"/>
    <n v="2"/>
    <n v="2"/>
    <n v="2"/>
    <n v="1"/>
    <n v="0"/>
  </r>
  <r>
    <x v="8"/>
    <x v="1"/>
    <x v="1"/>
    <x v="351"/>
    <x v="1"/>
    <n v="2"/>
    <n v="2"/>
    <s v="Life Sciences"/>
    <x v="0"/>
    <n v="556"/>
    <x v="2"/>
    <x v="1"/>
    <n v="42"/>
    <n v="3"/>
    <n v="1"/>
    <s v="Laboratory Technician"/>
    <x v="0"/>
    <s v="Married"/>
    <x v="405"/>
    <n v="12106"/>
    <n v="1"/>
    <x v="0"/>
    <x v="0"/>
    <n v="23"/>
    <n v="4"/>
    <n v="3"/>
    <n v="80"/>
    <n v="1"/>
    <n v="1"/>
    <n v="3"/>
    <n v="3"/>
    <n v="1"/>
    <n v="0"/>
    <n v="0"/>
    <n v="0"/>
  </r>
  <r>
    <x v="32"/>
    <x v="1"/>
    <x v="0"/>
    <x v="358"/>
    <x v="0"/>
    <n v="2"/>
    <n v="4"/>
    <s v="Life Sciences"/>
    <x v="0"/>
    <n v="558"/>
    <x v="1"/>
    <x v="0"/>
    <n v="79"/>
    <n v="3"/>
    <n v="5"/>
    <s v="Manager"/>
    <x v="2"/>
    <s v="Married"/>
    <x v="406"/>
    <n v="13022"/>
    <n v="0"/>
    <x v="0"/>
    <x v="1"/>
    <n v="14"/>
    <n v="3"/>
    <n v="4"/>
    <n v="80"/>
    <n v="0"/>
    <n v="21"/>
    <n v="2"/>
    <n v="3"/>
    <n v="20"/>
    <n v="15"/>
    <n v="1"/>
    <n v="12"/>
  </r>
  <r>
    <x v="25"/>
    <x v="1"/>
    <x v="0"/>
    <x v="359"/>
    <x v="1"/>
    <n v="23"/>
    <n v="3"/>
    <s v="Life Sciences"/>
    <x v="0"/>
    <n v="560"/>
    <x v="3"/>
    <x v="0"/>
    <n v="90"/>
    <n v="3"/>
    <n v="1"/>
    <s v="Research Scientist"/>
    <x v="0"/>
    <s v="Divorced"/>
    <x v="407"/>
    <n v="3032"/>
    <n v="1"/>
    <x v="0"/>
    <x v="1"/>
    <n v="22"/>
    <n v="4"/>
    <n v="2"/>
    <n v="80"/>
    <n v="2"/>
    <n v="3"/>
    <n v="3"/>
    <n v="1"/>
    <n v="3"/>
    <n v="2"/>
    <n v="0"/>
    <n v="2"/>
  </r>
  <r>
    <x v="7"/>
    <x v="1"/>
    <x v="2"/>
    <x v="84"/>
    <x v="1"/>
    <n v="3"/>
    <n v="3"/>
    <s v="Life Sciences"/>
    <x v="0"/>
    <n v="562"/>
    <x v="1"/>
    <x v="1"/>
    <n v="53"/>
    <n v="3"/>
    <n v="1"/>
    <s v="Laboratory Technician"/>
    <x v="0"/>
    <s v="Married"/>
    <x v="408"/>
    <n v="16734"/>
    <n v="4"/>
    <x v="0"/>
    <x v="1"/>
    <n v="15"/>
    <n v="3"/>
    <n v="3"/>
    <n v="80"/>
    <n v="1"/>
    <n v="9"/>
    <n v="3"/>
    <n v="1"/>
    <n v="5"/>
    <n v="3"/>
    <n v="1"/>
    <n v="4"/>
  </r>
  <r>
    <x v="11"/>
    <x v="1"/>
    <x v="0"/>
    <x v="360"/>
    <x v="1"/>
    <n v="3"/>
    <n v="4"/>
    <s v="Medical"/>
    <x v="0"/>
    <n v="564"/>
    <x v="0"/>
    <x v="1"/>
    <n v="93"/>
    <n v="2"/>
    <n v="3"/>
    <s v="Research Director"/>
    <x v="2"/>
    <s v="Married"/>
    <x v="409"/>
    <n v="21526"/>
    <n v="1"/>
    <x v="0"/>
    <x v="1"/>
    <n v="18"/>
    <n v="3"/>
    <n v="3"/>
    <n v="80"/>
    <n v="0"/>
    <n v="10"/>
    <n v="2"/>
    <n v="3"/>
    <n v="10"/>
    <n v="2"/>
    <n v="0"/>
    <n v="7"/>
  </r>
  <r>
    <x v="11"/>
    <x v="0"/>
    <x v="0"/>
    <x v="47"/>
    <x v="1"/>
    <n v="25"/>
    <n v="5"/>
    <s v="Technical Degree"/>
    <x v="0"/>
    <n v="565"/>
    <x v="1"/>
    <x v="0"/>
    <n v="71"/>
    <n v="2"/>
    <n v="1"/>
    <s v="Research Scientist"/>
    <x v="1"/>
    <s v="Married"/>
    <x v="410"/>
    <n v="18300"/>
    <n v="5"/>
    <x v="0"/>
    <x v="1"/>
    <n v="16"/>
    <n v="3"/>
    <n v="2"/>
    <n v="80"/>
    <n v="0"/>
    <n v="6"/>
    <n v="2"/>
    <n v="4"/>
    <n v="2"/>
    <n v="2"/>
    <n v="1"/>
    <n v="1"/>
  </r>
  <r>
    <x v="37"/>
    <x v="0"/>
    <x v="0"/>
    <x v="98"/>
    <x v="2"/>
    <n v="2"/>
    <n v="2"/>
    <s v="Technical Degree"/>
    <x v="0"/>
    <n v="566"/>
    <x v="3"/>
    <x v="1"/>
    <n v="52"/>
    <n v="2"/>
    <n v="1"/>
    <s v="Human Resources"/>
    <x v="0"/>
    <s v="Single"/>
    <x v="411"/>
    <n v="18437"/>
    <n v="1"/>
    <x v="0"/>
    <x v="1"/>
    <n v="12"/>
    <n v="3"/>
    <n v="3"/>
    <n v="80"/>
    <n v="0"/>
    <n v="1"/>
    <n v="3"/>
    <n v="4"/>
    <n v="1"/>
    <n v="0"/>
    <n v="0"/>
    <n v="0"/>
  </r>
  <r>
    <x v="7"/>
    <x v="1"/>
    <x v="2"/>
    <x v="358"/>
    <x v="0"/>
    <n v="22"/>
    <n v="4"/>
    <s v="Other"/>
    <x v="0"/>
    <n v="567"/>
    <x v="1"/>
    <x v="0"/>
    <n v="69"/>
    <n v="3"/>
    <n v="3"/>
    <s v="Sales Executive"/>
    <x v="3"/>
    <s v="Married"/>
    <x v="412"/>
    <n v="2890"/>
    <n v="0"/>
    <x v="0"/>
    <x v="1"/>
    <n v="11"/>
    <n v="3"/>
    <n v="3"/>
    <n v="80"/>
    <n v="0"/>
    <n v="10"/>
    <n v="3"/>
    <n v="3"/>
    <n v="9"/>
    <n v="8"/>
    <n v="7"/>
    <n v="8"/>
  </r>
  <r>
    <x v="38"/>
    <x v="1"/>
    <x v="0"/>
    <x v="299"/>
    <x v="0"/>
    <n v="29"/>
    <n v="3"/>
    <s v="Marketing"/>
    <x v="0"/>
    <n v="568"/>
    <x v="3"/>
    <x v="1"/>
    <n v="56"/>
    <n v="2"/>
    <n v="4"/>
    <s v="Manager"/>
    <x v="0"/>
    <s v="Divorced"/>
    <x v="413"/>
    <n v="22102"/>
    <n v="3"/>
    <x v="0"/>
    <x v="1"/>
    <n v="12"/>
    <n v="3"/>
    <n v="3"/>
    <n v="80"/>
    <n v="1"/>
    <n v="32"/>
    <n v="3"/>
    <n v="2"/>
    <n v="1"/>
    <n v="0"/>
    <n v="0"/>
    <n v="0"/>
  </r>
  <r>
    <x v="24"/>
    <x v="1"/>
    <x v="0"/>
    <x v="361"/>
    <x v="1"/>
    <n v="29"/>
    <n v="4"/>
    <s v="Life Sciences"/>
    <x v="0"/>
    <n v="569"/>
    <x v="0"/>
    <x v="1"/>
    <n v="88"/>
    <n v="2"/>
    <n v="4"/>
    <s v="Manager"/>
    <x v="2"/>
    <s v="Married"/>
    <x v="414"/>
    <n v="9314"/>
    <n v="0"/>
    <x v="0"/>
    <x v="1"/>
    <n v="15"/>
    <n v="3"/>
    <n v="2"/>
    <n v="80"/>
    <n v="1"/>
    <n v="28"/>
    <n v="2"/>
    <n v="3"/>
    <n v="27"/>
    <n v="10"/>
    <n v="15"/>
    <n v="7"/>
  </r>
  <r>
    <x v="7"/>
    <x v="1"/>
    <x v="2"/>
    <x v="362"/>
    <x v="1"/>
    <n v="2"/>
    <n v="3"/>
    <s v="Medical"/>
    <x v="0"/>
    <n v="571"/>
    <x v="1"/>
    <x v="0"/>
    <n v="49"/>
    <n v="3"/>
    <n v="1"/>
    <s v="Laboratory Technician"/>
    <x v="0"/>
    <s v="Single"/>
    <x v="411"/>
    <n v="7181"/>
    <n v="0"/>
    <x v="0"/>
    <x v="1"/>
    <n v="14"/>
    <n v="3"/>
    <n v="3"/>
    <n v="80"/>
    <n v="0"/>
    <n v="12"/>
    <n v="2"/>
    <n v="2"/>
    <n v="11"/>
    <n v="7"/>
    <n v="6"/>
    <n v="7"/>
  </r>
  <r>
    <x v="42"/>
    <x v="1"/>
    <x v="1"/>
    <x v="363"/>
    <x v="0"/>
    <n v="28"/>
    <n v="3"/>
    <s v="Marketing"/>
    <x v="0"/>
    <n v="573"/>
    <x v="1"/>
    <x v="0"/>
    <n v="80"/>
    <n v="2"/>
    <n v="3"/>
    <s v="Sales Executive"/>
    <x v="3"/>
    <s v="Married"/>
    <x v="415"/>
    <n v="2845"/>
    <n v="4"/>
    <x v="0"/>
    <x v="1"/>
    <n v="19"/>
    <n v="3"/>
    <n v="4"/>
    <n v="80"/>
    <n v="0"/>
    <n v="22"/>
    <n v="5"/>
    <n v="4"/>
    <n v="18"/>
    <n v="13"/>
    <n v="13"/>
    <n v="11"/>
  </r>
  <r>
    <x v="40"/>
    <x v="1"/>
    <x v="0"/>
    <x v="364"/>
    <x v="1"/>
    <n v="2"/>
    <n v="2"/>
    <s v="Medical"/>
    <x v="0"/>
    <n v="574"/>
    <x v="3"/>
    <x v="0"/>
    <n v="65"/>
    <n v="3"/>
    <n v="2"/>
    <s v="Manufacturing Director"/>
    <x v="0"/>
    <s v="Divorced"/>
    <x v="416"/>
    <n v="7389"/>
    <n v="5"/>
    <x v="0"/>
    <x v="1"/>
    <n v="13"/>
    <n v="3"/>
    <n v="3"/>
    <n v="80"/>
    <n v="3"/>
    <n v="20"/>
    <n v="2"/>
    <n v="3"/>
    <n v="5"/>
    <n v="0"/>
    <n v="0"/>
    <n v="4"/>
  </r>
  <r>
    <x v="21"/>
    <x v="1"/>
    <x v="0"/>
    <x v="365"/>
    <x v="1"/>
    <n v="2"/>
    <n v="3"/>
    <s v="Life Sciences"/>
    <x v="0"/>
    <n v="575"/>
    <x v="3"/>
    <x v="1"/>
    <n v="51"/>
    <n v="3"/>
    <n v="4"/>
    <s v="Research Director"/>
    <x v="2"/>
    <s v="Married"/>
    <x v="417"/>
    <n v="2288"/>
    <n v="6"/>
    <x v="0"/>
    <x v="1"/>
    <n v="13"/>
    <n v="3"/>
    <n v="3"/>
    <n v="80"/>
    <n v="0"/>
    <n v="26"/>
    <n v="2"/>
    <n v="1"/>
    <n v="3"/>
    <n v="2"/>
    <n v="0"/>
    <n v="1"/>
  </r>
  <r>
    <x v="10"/>
    <x v="1"/>
    <x v="0"/>
    <x v="309"/>
    <x v="1"/>
    <n v="22"/>
    <n v="3"/>
    <s v="Life Sciences"/>
    <x v="0"/>
    <n v="577"/>
    <x v="2"/>
    <x v="1"/>
    <n v="46"/>
    <n v="1"/>
    <n v="1"/>
    <s v="Laboratory Technician"/>
    <x v="2"/>
    <s v="Single"/>
    <x v="418"/>
    <n v="19225"/>
    <n v="0"/>
    <x v="0"/>
    <x v="1"/>
    <n v="15"/>
    <n v="3"/>
    <n v="3"/>
    <n v="80"/>
    <n v="0"/>
    <n v="6"/>
    <n v="2"/>
    <n v="3"/>
    <n v="5"/>
    <n v="4"/>
    <n v="4"/>
    <n v="3"/>
  </r>
  <r>
    <x v="33"/>
    <x v="1"/>
    <x v="0"/>
    <x v="73"/>
    <x v="1"/>
    <n v="8"/>
    <n v="4"/>
    <s v="Life Sciences"/>
    <x v="0"/>
    <n v="578"/>
    <x v="1"/>
    <x v="0"/>
    <n v="42"/>
    <n v="3"/>
    <n v="2"/>
    <s v="Laboratory Technician"/>
    <x v="2"/>
    <s v="Single"/>
    <x v="419"/>
    <n v="23428"/>
    <n v="7"/>
    <x v="0"/>
    <x v="1"/>
    <n v="11"/>
    <n v="3"/>
    <n v="3"/>
    <n v="80"/>
    <n v="0"/>
    <n v="19"/>
    <n v="3"/>
    <n v="3"/>
    <n v="1"/>
    <n v="0"/>
    <n v="0"/>
    <n v="0"/>
  </r>
  <r>
    <x v="13"/>
    <x v="1"/>
    <x v="0"/>
    <x v="366"/>
    <x v="1"/>
    <n v="2"/>
    <n v="4"/>
    <s v="Life Sciences"/>
    <x v="0"/>
    <n v="579"/>
    <x v="2"/>
    <x v="1"/>
    <n v="62"/>
    <n v="2"/>
    <n v="1"/>
    <s v="Research Scientist"/>
    <x v="2"/>
    <s v="Divorced"/>
    <x v="420"/>
    <n v="8416"/>
    <n v="3"/>
    <x v="0"/>
    <x v="1"/>
    <n v="12"/>
    <n v="3"/>
    <n v="3"/>
    <n v="80"/>
    <n v="1"/>
    <n v="14"/>
    <n v="3"/>
    <n v="3"/>
    <n v="7"/>
    <n v="3"/>
    <n v="5"/>
    <n v="7"/>
  </r>
  <r>
    <x v="21"/>
    <x v="1"/>
    <x v="0"/>
    <x v="26"/>
    <x v="0"/>
    <n v="10"/>
    <n v="3"/>
    <s v="Marketing"/>
    <x v="0"/>
    <n v="580"/>
    <x v="1"/>
    <x v="0"/>
    <n v="94"/>
    <n v="2"/>
    <n v="3"/>
    <s v="Sales Executive"/>
    <x v="0"/>
    <s v="Married"/>
    <x v="421"/>
    <n v="11563"/>
    <n v="2"/>
    <x v="0"/>
    <x v="0"/>
    <n v="19"/>
    <n v="3"/>
    <n v="3"/>
    <n v="80"/>
    <n v="1"/>
    <n v="15"/>
    <n v="3"/>
    <n v="3"/>
    <n v="3"/>
    <n v="2"/>
    <n v="1"/>
    <n v="2"/>
  </r>
  <r>
    <x v="12"/>
    <x v="1"/>
    <x v="0"/>
    <x v="367"/>
    <x v="1"/>
    <n v="9"/>
    <n v="1"/>
    <s v="Life Sciences"/>
    <x v="0"/>
    <n v="581"/>
    <x v="1"/>
    <x v="1"/>
    <n v="33"/>
    <n v="3"/>
    <n v="3"/>
    <s v="Manufacturing Director"/>
    <x v="1"/>
    <s v="Divorced"/>
    <x v="422"/>
    <n v="14394"/>
    <n v="1"/>
    <x v="0"/>
    <x v="1"/>
    <n v="25"/>
    <n v="4"/>
    <n v="4"/>
    <n v="80"/>
    <n v="1"/>
    <n v="13"/>
    <n v="6"/>
    <n v="4"/>
    <n v="13"/>
    <n v="8"/>
    <n v="0"/>
    <n v="8"/>
  </r>
  <r>
    <x v="3"/>
    <x v="0"/>
    <x v="0"/>
    <x v="368"/>
    <x v="1"/>
    <n v="15"/>
    <n v="1"/>
    <s v="Medical"/>
    <x v="0"/>
    <n v="582"/>
    <x v="0"/>
    <x v="1"/>
    <n v="56"/>
    <n v="3"/>
    <n v="3"/>
    <s v="Manager"/>
    <x v="2"/>
    <s v="Married"/>
    <x v="423"/>
    <n v="24619"/>
    <n v="7"/>
    <x v="0"/>
    <x v="0"/>
    <n v="12"/>
    <n v="3"/>
    <n v="4"/>
    <n v="80"/>
    <n v="0"/>
    <n v="15"/>
    <n v="2"/>
    <n v="4"/>
    <n v="7"/>
    <n v="6"/>
    <n v="7"/>
    <n v="7"/>
  </r>
  <r>
    <x v="3"/>
    <x v="0"/>
    <x v="0"/>
    <x v="369"/>
    <x v="1"/>
    <n v="10"/>
    <n v="1"/>
    <s v="Medical"/>
    <x v="0"/>
    <n v="584"/>
    <x v="3"/>
    <x v="1"/>
    <n v="38"/>
    <n v="1"/>
    <n v="1"/>
    <s v="Laboratory Technician"/>
    <x v="0"/>
    <s v="Divorced"/>
    <x v="424"/>
    <n v="6705"/>
    <n v="7"/>
    <x v="0"/>
    <x v="1"/>
    <n v="13"/>
    <n v="3"/>
    <n v="1"/>
    <n v="80"/>
    <n v="3"/>
    <n v="8"/>
    <n v="2"/>
    <n v="3"/>
    <n v="4"/>
    <n v="3"/>
    <n v="1"/>
    <n v="3"/>
  </r>
  <r>
    <x v="7"/>
    <x v="1"/>
    <x v="0"/>
    <x v="370"/>
    <x v="0"/>
    <n v="7"/>
    <n v="1"/>
    <s v="Marketing"/>
    <x v="0"/>
    <n v="585"/>
    <x v="2"/>
    <x v="1"/>
    <n v="57"/>
    <n v="3"/>
    <n v="1"/>
    <s v="Sales Representative"/>
    <x v="1"/>
    <s v="Single"/>
    <x v="425"/>
    <n v="18398"/>
    <n v="0"/>
    <x v="0"/>
    <x v="1"/>
    <n v="14"/>
    <n v="3"/>
    <n v="1"/>
    <n v="80"/>
    <n v="0"/>
    <n v="4"/>
    <n v="3"/>
    <n v="3"/>
    <n v="3"/>
    <n v="2"/>
    <n v="1"/>
    <n v="2"/>
  </r>
  <r>
    <x v="10"/>
    <x v="1"/>
    <x v="0"/>
    <x v="371"/>
    <x v="1"/>
    <n v="16"/>
    <n v="3"/>
    <s v="Life Sciences"/>
    <x v="0"/>
    <n v="586"/>
    <x v="2"/>
    <x v="1"/>
    <n v="72"/>
    <n v="3"/>
    <n v="3"/>
    <s v="Healthcare Representative"/>
    <x v="2"/>
    <s v="Married"/>
    <x v="426"/>
    <n v="14295"/>
    <n v="4"/>
    <x v="0"/>
    <x v="0"/>
    <n v="12"/>
    <n v="3"/>
    <n v="3"/>
    <n v="80"/>
    <n v="0"/>
    <n v="10"/>
    <n v="2"/>
    <n v="3"/>
    <n v="8"/>
    <n v="7"/>
    <n v="0"/>
    <n v="0"/>
  </r>
  <r>
    <x v="12"/>
    <x v="0"/>
    <x v="1"/>
    <x v="107"/>
    <x v="1"/>
    <n v="20"/>
    <n v="3"/>
    <s v="Life Sciences"/>
    <x v="0"/>
    <n v="587"/>
    <x v="3"/>
    <x v="1"/>
    <n v="66"/>
    <n v="3"/>
    <n v="3"/>
    <s v="Healthcare Representative"/>
    <x v="2"/>
    <s v="Married"/>
    <x v="427"/>
    <n v="22908"/>
    <n v="3"/>
    <x v="0"/>
    <x v="1"/>
    <n v="12"/>
    <n v="3"/>
    <n v="1"/>
    <n v="80"/>
    <n v="0"/>
    <n v="12"/>
    <n v="2"/>
    <n v="3"/>
    <n v="1"/>
    <n v="0"/>
    <n v="0"/>
    <n v="0"/>
  </r>
  <r>
    <x v="13"/>
    <x v="0"/>
    <x v="1"/>
    <x v="372"/>
    <x v="2"/>
    <n v="23"/>
    <n v="3"/>
    <s v="Human Resources"/>
    <x v="0"/>
    <n v="590"/>
    <x v="0"/>
    <x v="0"/>
    <n v="43"/>
    <n v="3"/>
    <n v="3"/>
    <s v="Human Resources"/>
    <x v="3"/>
    <s v="Divorced"/>
    <x v="428"/>
    <n v="11533"/>
    <n v="9"/>
    <x v="0"/>
    <x v="0"/>
    <n v="15"/>
    <n v="3"/>
    <n v="3"/>
    <n v="80"/>
    <n v="3"/>
    <n v="11"/>
    <n v="2"/>
    <n v="3"/>
    <n v="3"/>
    <n v="2"/>
    <n v="0"/>
    <n v="2"/>
  </r>
  <r>
    <x v="19"/>
    <x v="1"/>
    <x v="1"/>
    <x v="373"/>
    <x v="1"/>
    <n v="5"/>
    <n v="2"/>
    <s v="Other"/>
    <x v="0"/>
    <n v="591"/>
    <x v="0"/>
    <x v="1"/>
    <n v="97"/>
    <n v="3"/>
    <n v="1"/>
    <s v="Laboratory Technician"/>
    <x v="2"/>
    <s v="Married"/>
    <x v="429"/>
    <n v="9260"/>
    <n v="4"/>
    <x v="0"/>
    <x v="1"/>
    <n v="17"/>
    <n v="3"/>
    <n v="4"/>
    <n v="80"/>
    <n v="1"/>
    <n v="8"/>
    <n v="4"/>
    <n v="3"/>
    <n v="2"/>
    <n v="2"/>
    <n v="2"/>
    <n v="0"/>
  </r>
  <r>
    <x v="9"/>
    <x v="1"/>
    <x v="2"/>
    <x v="192"/>
    <x v="0"/>
    <n v="10"/>
    <n v="4"/>
    <s v="Medical"/>
    <x v="0"/>
    <n v="592"/>
    <x v="0"/>
    <x v="1"/>
    <n v="32"/>
    <n v="3"/>
    <n v="3"/>
    <s v="Sales Executive"/>
    <x v="0"/>
    <s v="Single"/>
    <x v="15"/>
    <n v="15318"/>
    <n v="1"/>
    <x v="0"/>
    <x v="1"/>
    <n v="14"/>
    <n v="3"/>
    <n v="4"/>
    <n v="80"/>
    <n v="0"/>
    <n v="10"/>
    <n v="3"/>
    <n v="2"/>
    <n v="10"/>
    <n v="3"/>
    <n v="9"/>
    <n v="7"/>
  </r>
  <r>
    <x v="15"/>
    <x v="0"/>
    <x v="1"/>
    <x v="355"/>
    <x v="1"/>
    <n v="4"/>
    <n v="1"/>
    <s v="Technical Degree"/>
    <x v="0"/>
    <n v="593"/>
    <x v="1"/>
    <x v="1"/>
    <n v="99"/>
    <n v="2"/>
    <n v="1"/>
    <s v="Laboratory Technician"/>
    <x v="2"/>
    <s v="Single"/>
    <x v="430"/>
    <n v="9129"/>
    <n v="5"/>
    <x v="0"/>
    <x v="1"/>
    <n v="16"/>
    <n v="3"/>
    <n v="3"/>
    <n v="80"/>
    <n v="0"/>
    <n v="4"/>
    <n v="3"/>
    <n v="3"/>
    <n v="2"/>
    <n v="2"/>
    <n v="1"/>
    <n v="2"/>
  </r>
  <r>
    <x v="26"/>
    <x v="1"/>
    <x v="0"/>
    <x v="374"/>
    <x v="0"/>
    <n v="2"/>
    <n v="5"/>
    <s v="Marketing"/>
    <x v="0"/>
    <n v="595"/>
    <x v="0"/>
    <x v="0"/>
    <n v="37"/>
    <n v="3"/>
    <n v="2"/>
    <s v="Sales Executive"/>
    <x v="0"/>
    <s v="Married"/>
    <x v="431"/>
    <n v="19658"/>
    <n v="2"/>
    <x v="0"/>
    <x v="1"/>
    <n v="14"/>
    <n v="3"/>
    <n v="1"/>
    <n v="80"/>
    <n v="1"/>
    <n v="14"/>
    <n v="2"/>
    <n v="3"/>
    <n v="9"/>
    <n v="7"/>
    <n v="6"/>
    <n v="7"/>
  </r>
  <r>
    <x v="27"/>
    <x v="1"/>
    <x v="0"/>
    <x v="261"/>
    <x v="0"/>
    <n v="18"/>
    <n v="5"/>
    <s v="Life Sciences"/>
    <x v="0"/>
    <n v="597"/>
    <x v="3"/>
    <x v="0"/>
    <n v="83"/>
    <n v="3"/>
    <n v="4"/>
    <s v="Manager"/>
    <x v="1"/>
    <s v="Single"/>
    <x v="432"/>
    <n v="9873"/>
    <n v="3"/>
    <x v="0"/>
    <x v="1"/>
    <n v="23"/>
    <n v="4"/>
    <n v="4"/>
    <n v="80"/>
    <n v="0"/>
    <n v="37"/>
    <n v="2"/>
    <n v="3"/>
    <n v="10"/>
    <n v="9"/>
    <n v="7"/>
    <n v="7"/>
  </r>
  <r>
    <x v="0"/>
    <x v="1"/>
    <x v="2"/>
    <x v="375"/>
    <x v="0"/>
    <n v="10"/>
    <n v="2"/>
    <s v="Life Sciences"/>
    <x v="0"/>
    <n v="599"/>
    <x v="2"/>
    <x v="1"/>
    <n v="56"/>
    <n v="3"/>
    <n v="2"/>
    <s v="Sales Executive"/>
    <x v="0"/>
    <s v="Single"/>
    <x v="433"/>
    <n v="13430"/>
    <n v="7"/>
    <x v="0"/>
    <x v="1"/>
    <n v="14"/>
    <n v="3"/>
    <n v="4"/>
    <n v="80"/>
    <n v="0"/>
    <n v="16"/>
    <n v="3"/>
    <n v="3"/>
    <n v="14"/>
    <n v="3"/>
    <n v="1"/>
    <n v="10"/>
  </r>
  <r>
    <x v="10"/>
    <x v="1"/>
    <x v="0"/>
    <x v="376"/>
    <x v="0"/>
    <n v="1"/>
    <n v="3"/>
    <s v="Marketing"/>
    <x v="0"/>
    <n v="600"/>
    <x v="0"/>
    <x v="1"/>
    <n v="85"/>
    <n v="3"/>
    <n v="2"/>
    <s v="Sales Executive"/>
    <x v="2"/>
    <s v="Married"/>
    <x v="434"/>
    <n v="18659"/>
    <n v="9"/>
    <x v="0"/>
    <x v="1"/>
    <n v="11"/>
    <n v="3"/>
    <n v="3"/>
    <n v="80"/>
    <n v="0"/>
    <n v="15"/>
    <n v="2"/>
    <n v="3"/>
    <n v="11"/>
    <n v="9"/>
    <n v="6"/>
    <n v="9"/>
  </r>
  <r>
    <x v="32"/>
    <x v="1"/>
    <x v="0"/>
    <x v="377"/>
    <x v="1"/>
    <n v="6"/>
    <n v="3"/>
    <s v="Life Sciences"/>
    <x v="0"/>
    <n v="601"/>
    <x v="0"/>
    <x v="0"/>
    <n v="75"/>
    <n v="3"/>
    <n v="4"/>
    <s v="Manufacturing Director"/>
    <x v="2"/>
    <s v="Single"/>
    <x v="435"/>
    <n v="20364"/>
    <n v="7"/>
    <x v="0"/>
    <x v="1"/>
    <n v="15"/>
    <n v="3"/>
    <n v="3"/>
    <n v="80"/>
    <n v="0"/>
    <n v="22"/>
    <n v="3"/>
    <n v="3"/>
    <n v="20"/>
    <n v="6"/>
    <n v="5"/>
    <n v="13"/>
  </r>
  <r>
    <x v="22"/>
    <x v="1"/>
    <x v="1"/>
    <x v="378"/>
    <x v="1"/>
    <n v="8"/>
    <n v="1"/>
    <s v="Life Sciences"/>
    <x v="0"/>
    <n v="602"/>
    <x v="1"/>
    <x v="0"/>
    <n v="48"/>
    <n v="3"/>
    <n v="1"/>
    <s v="Laboratory Technician"/>
    <x v="2"/>
    <s v="Married"/>
    <x v="436"/>
    <n v="17872"/>
    <n v="1"/>
    <x v="0"/>
    <x v="1"/>
    <n v="11"/>
    <n v="3"/>
    <n v="1"/>
    <n v="80"/>
    <n v="1"/>
    <n v="8"/>
    <n v="3"/>
    <n v="3"/>
    <n v="8"/>
    <n v="3"/>
    <n v="0"/>
    <n v="7"/>
  </r>
  <r>
    <x v="12"/>
    <x v="1"/>
    <x v="0"/>
    <x v="379"/>
    <x v="0"/>
    <n v="2"/>
    <n v="1"/>
    <s v="Life Sciences"/>
    <x v="0"/>
    <n v="604"/>
    <x v="0"/>
    <x v="1"/>
    <n v="77"/>
    <n v="3"/>
    <n v="2"/>
    <s v="Sales Executive"/>
    <x v="0"/>
    <s v="Single"/>
    <x v="437"/>
    <n v="8346"/>
    <n v="4"/>
    <x v="0"/>
    <x v="0"/>
    <n v="13"/>
    <n v="3"/>
    <n v="3"/>
    <n v="80"/>
    <n v="0"/>
    <n v="10"/>
    <n v="2"/>
    <n v="4"/>
    <n v="6"/>
    <n v="5"/>
    <n v="0"/>
    <n v="5"/>
  </r>
  <r>
    <x v="19"/>
    <x v="1"/>
    <x v="0"/>
    <x v="207"/>
    <x v="1"/>
    <n v="24"/>
    <n v="3"/>
    <s v="Medical"/>
    <x v="0"/>
    <n v="605"/>
    <x v="2"/>
    <x v="1"/>
    <n v="56"/>
    <n v="3"/>
    <n v="3"/>
    <s v="Manufacturing Director"/>
    <x v="3"/>
    <s v="Married"/>
    <x v="438"/>
    <n v="6950"/>
    <n v="1"/>
    <x v="0"/>
    <x v="0"/>
    <n v="21"/>
    <n v="4"/>
    <n v="4"/>
    <n v="80"/>
    <n v="1"/>
    <n v="10"/>
    <n v="5"/>
    <n v="2"/>
    <n v="10"/>
    <n v="9"/>
    <n v="5"/>
    <n v="8"/>
  </r>
  <r>
    <x v="28"/>
    <x v="1"/>
    <x v="0"/>
    <x v="380"/>
    <x v="0"/>
    <n v="2"/>
    <n v="3"/>
    <s v="Other"/>
    <x v="0"/>
    <n v="606"/>
    <x v="2"/>
    <x v="1"/>
    <n v="61"/>
    <n v="3"/>
    <n v="2"/>
    <s v="Sales Executive"/>
    <x v="1"/>
    <s v="Married"/>
    <x v="439"/>
    <n v="16177"/>
    <n v="0"/>
    <x v="0"/>
    <x v="1"/>
    <n v="19"/>
    <n v="3"/>
    <n v="2"/>
    <n v="80"/>
    <n v="1"/>
    <n v="9"/>
    <n v="3"/>
    <n v="4"/>
    <n v="8"/>
    <n v="7"/>
    <n v="3"/>
    <n v="7"/>
  </r>
  <r>
    <x v="25"/>
    <x v="0"/>
    <x v="1"/>
    <x v="381"/>
    <x v="2"/>
    <n v="17"/>
    <n v="4"/>
    <s v="Life Sciences"/>
    <x v="0"/>
    <n v="608"/>
    <x v="0"/>
    <x v="0"/>
    <n v="58"/>
    <n v="3"/>
    <n v="1"/>
    <s v="Human Resources"/>
    <x v="2"/>
    <s v="Divorced"/>
    <x v="199"/>
    <n v="22808"/>
    <n v="0"/>
    <x v="0"/>
    <x v="0"/>
    <n v="11"/>
    <n v="3"/>
    <n v="2"/>
    <n v="80"/>
    <n v="1"/>
    <n v="8"/>
    <n v="2"/>
    <n v="2"/>
    <n v="7"/>
    <n v="7"/>
    <n v="1"/>
    <n v="0"/>
  </r>
  <r>
    <x v="11"/>
    <x v="1"/>
    <x v="0"/>
    <x v="382"/>
    <x v="1"/>
    <n v="19"/>
    <n v="3"/>
    <s v="Technical Degree"/>
    <x v="0"/>
    <n v="611"/>
    <x v="2"/>
    <x v="1"/>
    <n v="34"/>
    <n v="3"/>
    <n v="2"/>
    <s v="Manufacturing Director"/>
    <x v="0"/>
    <s v="Divorced"/>
    <x v="440"/>
    <n v="22645"/>
    <n v="4"/>
    <x v="0"/>
    <x v="1"/>
    <n v="12"/>
    <n v="3"/>
    <n v="2"/>
    <n v="80"/>
    <n v="2"/>
    <n v="8"/>
    <n v="2"/>
    <n v="4"/>
    <n v="3"/>
    <n v="2"/>
    <n v="1"/>
    <n v="2"/>
  </r>
  <r>
    <x v="3"/>
    <x v="1"/>
    <x v="0"/>
    <x v="116"/>
    <x v="1"/>
    <n v="1"/>
    <n v="5"/>
    <s v="Medical"/>
    <x v="0"/>
    <n v="612"/>
    <x v="3"/>
    <x v="0"/>
    <n v="95"/>
    <n v="4"/>
    <n v="4"/>
    <s v="Research Director"/>
    <x v="2"/>
    <s v="Divorced"/>
    <x v="441"/>
    <n v="22578"/>
    <n v="4"/>
    <x v="0"/>
    <x v="1"/>
    <n v="19"/>
    <n v="3"/>
    <n v="3"/>
    <n v="80"/>
    <n v="1"/>
    <n v="10"/>
    <n v="2"/>
    <n v="3"/>
    <n v="6"/>
    <n v="1"/>
    <n v="0"/>
    <n v="5"/>
  </r>
  <r>
    <x v="12"/>
    <x v="1"/>
    <x v="0"/>
    <x v="259"/>
    <x v="0"/>
    <n v="7"/>
    <n v="3"/>
    <s v="Life Sciences"/>
    <x v="0"/>
    <n v="613"/>
    <x v="1"/>
    <x v="1"/>
    <n v="44"/>
    <n v="2"/>
    <n v="3"/>
    <s v="Manager"/>
    <x v="0"/>
    <s v="Divorced"/>
    <x v="442"/>
    <n v="25291"/>
    <n v="9"/>
    <x v="0"/>
    <x v="1"/>
    <n v="21"/>
    <n v="4"/>
    <n v="3"/>
    <n v="80"/>
    <n v="1"/>
    <n v="10"/>
    <n v="3"/>
    <n v="2"/>
    <n v="5"/>
    <n v="4"/>
    <n v="0"/>
    <n v="1"/>
  </r>
  <r>
    <x v="41"/>
    <x v="0"/>
    <x v="1"/>
    <x v="383"/>
    <x v="0"/>
    <n v="5"/>
    <n v="3"/>
    <s v="Marketing"/>
    <x v="0"/>
    <n v="614"/>
    <x v="0"/>
    <x v="1"/>
    <n v="69"/>
    <n v="3"/>
    <n v="1"/>
    <s v="Sales Representative"/>
    <x v="1"/>
    <s v="Single"/>
    <x v="443"/>
    <n v="8059"/>
    <n v="1"/>
    <x v="0"/>
    <x v="0"/>
    <n v="14"/>
    <n v="3"/>
    <n v="4"/>
    <n v="80"/>
    <n v="0"/>
    <n v="0"/>
    <n v="3"/>
    <n v="3"/>
    <n v="0"/>
    <n v="0"/>
    <n v="0"/>
    <n v="0"/>
  </r>
  <r>
    <x v="32"/>
    <x v="1"/>
    <x v="2"/>
    <x v="384"/>
    <x v="0"/>
    <n v="28"/>
    <n v="3"/>
    <s v="Other"/>
    <x v="0"/>
    <n v="615"/>
    <x v="1"/>
    <x v="1"/>
    <n v="58"/>
    <n v="1"/>
    <n v="3"/>
    <s v="Sales Executive"/>
    <x v="3"/>
    <s v="Divorced"/>
    <x v="444"/>
    <n v="11373"/>
    <n v="3"/>
    <x v="0"/>
    <x v="1"/>
    <n v="15"/>
    <n v="3"/>
    <n v="3"/>
    <n v="80"/>
    <n v="1"/>
    <n v="20"/>
    <n v="2"/>
    <n v="3"/>
    <n v="1"/>
    <n v="0"/>
    <n v="0"/>
    <n v="1"/>
  </r>
  <r>
    <x v="0"/>
    <x v="1"/>
    <x v="2"/>
    <x v="385"/>
    <x v="1"/>
    <n v="2"/>
    <n v="4"/>
    <s v="Other"/>
    <x v="0"/>
    <n v="616"/>
    <x v="3"/>
    <x v="0"/>
    <n v="62"/>
    <n v="2"/>
    <n v="2"/>
    <s v="Healthcare Representative"/>
    <x v="2"/>
    <s v="Single"/>
    <x v="445"/>
    <n v="2112"/>
    <n v="2"/>
    <x v="0"/>
    <x v="0"/>
    <n v="17"/>
    <n v="3"/>
    <n v="1"/>
    <n v="80"/>
    <n v="0"/>
    <n v="10"/>
    <n v="3"/>
    <n v="3"/>
    <n v="8"/>
    <n v="7"/>
    <n v="0"/>
    <n v="7"/>
  </r>
  <r>
    <x v="25"/>
    <x v="1"/>
    <x v="0"/>
    <x v="386"/>
    <x v="0"/>
    <n v="29"/>
    <n v="2"/>
    <s v="Medical"/>
    <x v="0"/>
    <n v="618"/>
    <x v="3"/>
    <x v="1"/>
    <n v="45"/>
    <n v="3"/>
    <n v="2"/>
    <s v="Sales Executive"/>
    <x v="2"/>
    <s v="Divorced"/>
    <x v="383"/>
    <n v="4267"/>
    <n v="5"/>
    <x v="0"/>
    <x v="1"/>
    <n v="12"/>
    <n v="3"/>
    <n v="1"/>
    <n v="80"/>
    <n v="2"/>
    <n v="8"/>
    <n v="5"/>
    <n v="3"/>
    <n v="0"/>
    <n v="0"/>
    <n v="0"/>
    <n v="0"/>
  </r>
  <r>
    <x v="10"/>
    <x v="1"/>
    <x v="0"/>
    <x v="387"/>
    <x v="0"/>
    <n v="1"/>
    <n v="3"/>
    <s v="Medical"/>
    <x v="0"/>
    <n v="620"/>
    <x v="3"/>
    <x v="0"/>
    <n v="80"/>
    <n v="3"/>
    <n v="2"/>
    <s v="Sales Executive"/>
    <x v="2"/>
    <s v="Single"/>
    <x v="446"/>
    <n v="6698"/>
    <n v="1"/>
    <x v="0"/>
    <x v="1"/>
    <n v="16"/>
    <n v="3"/>
    <n v="4"/>
    <n v="80"/>
    <n v="0"/>
    <n v="5"/>
    <n v="3"/>
    <n v="3"/>
    <n v="5"/>
    <n v="4"/>
    <n v="0"/>
    <n v="3"/>
  </r>
  <r>
    <x v="13"/>
    <x v="1"/>
    <x v="0"/>
    <x v="388"/>
    <x v="0"/>
    <n v="21"/>
    <n v="4"/>
    <s v="Life Sciences"/>
    <x v="0"/>
    <n v="621"/>
    <x v="2"/>
    <x v="1"/>
    <n v="74"/>
    <n v="4"/>
    <n v="2"/>
    <s v="Sales Executive"/>
    <x v="0"/>
    <s v="Single"/>
    <x v="447"/>
    <n v="19921"/>
    <n v="1"/>
    <x v="0"/>
    <x v="1"/>
    <n v="12"/>
    <n v="3"/>
    <n v="4"/>
    <n v="80"/>
    <n v="0"/>
    <n v="10"/>
    <n v="3"/>
    <n v="3"/>
    <n v="10"/>
    <n v="7"/>
    <n v="5"/>
    <n v="7"/>
  </r>
  <r>
    <x v="25"/>
    <x v="0"/>
    <x v="0"/>
    <x v="389"/>
    <x v="1"/>
    <n v="24"/>
    <n v="3"/>
    <s v="Technical Degree"/>
    <x v="0"/>
    <n v="622"/>
    <x v="1"/>
    <x v="1"/>
    <n v="66"/>
    <n v="1"/>
    <n v="1"/>
    <s v="Laboratory Technician"/>
    <x v="0"/>
    <s v="Single"/>
    <x v="246"/>
    <n v="23213"/>
    <n v="1"/>
    <x v="0"/>
    <x v="0"/>
    <n v="18"/>
    <n v="3"/>
    <n v="2"/>
    <n v="80"/>
    <n v="0"/>
    <n v="1"/>
    <n v="3"/>
    <n v="1"/>
    <n v="1"/>
    <n v="0"/>
    <n v="0"/>
    <n v="0"/>
  </r>
  <r>
    <x v="2"/>
    <x v="1"/>
    <x v="0"/>
    <x v="390"/>
    <x v="1"/>
    <n v="1"/>
    <n v="3"/>
    <s v="Technical Degree"/>
    <x v="0"/>
    <n v="623"/>
    <x v="0"/>
    <x v="0"/>
    <n v="59"/>
    <n v="3"/>
    <n v="3"/>
    <s v="Manufacturing Director"/>
    <x v="0"/>
    <s v="Single"/>
    <x v="448"/>
    <n v="23848"/>
    <n v="4"/>
    <x v="0"/>
    <x v="1"/>
    <n v="17"/>
    <n v="3"/>
    <n v="4"/>
    <n v="80"/>
    <n v="0"/>
    <n v="12"/>
    <n v="3"/>
    <n v="4"/>
    <n v="6"/>
    <n v="5"/>
    <n v="1"/>
    <n v="2"/>
  </r>
  <r>
    <x v="21"/>
    <x v="1"/>
    <x v="1"/>
    <x v="214"/>
    <x v="1"/>
    <n v="18"/>
    <n v="1"/>
    <s v="Medical"/>
    <x v="0"/>
    <n v="624"/>
    <x v="3"/>
    <x v="0"/>
    <n v="86"/>
    <n v="3"/>
    <n v="3"/>
    <s v="Healthcare Representative"/>
    <x v="2"/>
    <s v="Married"/>
    <x v="449"/>
    <n v="8984"/>
    <n v="5"/>
    <x v="0"/>
    <x v="1"/>
    <n v="11"/>
    <n v="3"/>
    <n v="4"/>
    <n v="80"/>
    <n v="0"/>
    <n v="28"/>
    <n v="3"/>
    <n v="2"/>
    <n v="2"/>
    <n v="2"/>
    <n v="1"/>
    <n v="2"/>
  </r>
  <r>
    <x v="0"/>
    <x v="1"/>
    <x v="0"/>
    <x v="371"/>
    <x v="0"/>
    <n v="2"/>
    <n v="5"/>
    <s v="Life Sciences"/>
    <x v="0"/>
    <n v="625"/>
    <x v="0"/>
    <x v="0"/>
    <n v="91"/>
    <n v="3"/>
    <n v="4"/>
    <s v="Manager"/>
    <x v="3"/>
    <s v="Married"/>
    <x v="450"/>
    <n v="5626"/>
    <n v="7"/>
    <x v="0"/>
    <x v="1"/>
    <n v="16"/>
    <n v="3"/>
    <n v="2"/>
    <n v="80"/>
    <n v="1"/>
    <n v="22"/>
    <n v="2"/>
    <n v="3"/>
    <n v="18"/>
    <n v="16"/>
    <n v="11"/>
    <n v="8"/>
  </r>
  <r>
    <x v="2"/>
    <x v="1"/>
    <x v="2"/>
    <x v="110"/>
    <x v="0"/>
    <n v="9"/>
    <n v="4"/>
    <s v="Medical"/>
    <x v="0"/>
    <n v="626"/>
    <x v="3"/>
    <x v="1"/>
    <n v="69"/>
    <n v="3"/>
    <n v="3"/>
    <s v="Sales Executive"/>
    <x v="1"/>
    <s v="Divorced"/>
    <x v="451"/>
    <n v="24666"/>
    <n v="1"/>
    <x v="0"/>
    <x v="1"/>
    <n v="13"/>
    <n v="3"/>
    <n v="4"/>
    <n v="80"/>
    <n v="1"/>
    <n v="9"/>
    <n v="6"/>
    <n v="3"/>
    <n v="9"/>
    <n v="5"/>
    <n v="7"/>
    <n v="7"/>
  </r>
  <r>
    <x v="39"/>
    <x v="1"/>
    <x v="0"/>
    <x v="391"/>
    <x v="1"/>
    <n v="6"/>
    <n v="2"/>
    <s v="Technical Degree"/>
    <x v="0"/>
    <n v="630"/>
    <x v="2"/>
    <x v="1"/>
    <n v="78"/>
    <n v="3"/>
    <n v="2"/>
    <s v="Research Scientist"/>
    <x v="3"/>
    <s v="Divorced"/>
    <x v="452"/>
    <n v="22087"/>
    <n v="3"/>
    <x v="0"/>
    <x v="0"/>
    <n v="12"/>
    <n v="3"/>
    <n v="2"/>
    <n v="80"/>
    <n v="2"/>
    <n v="18"/>
    <n v="3"/>
    <n v="3"/>
    <n v="10"/>
    <n v="9"/>
    <n v="6"/>
    <n v="9"/>
  </r>
  <r>
    <x v="5"/>
    <x v="0"/>
    <x v="2"/>
    <x v="373"/>
    <x v="0"/>
    <n v="11"/>
    <n v="4"/>
    <s v="Other"/>
    <x v="0"/>
    <n v="631"/>
    <x v="2"/>
    <x v="1"/>
    <n v="60"/>
    <n v="4"/>
    <n v="2"/>
    <s v="Sales Executive"/>
    <x v="2"/>
    <s v="Married"/>
    <x v="453"/>
    <n v="23914"/>
    <n v="8"/>
    <x v="0"/>
    <x v="1"/>
    <n v="12"/>
    <n v="3"/>
    <n v="4"/>
    <n v="80"/>
    <n v="0"/>
    <n v="6"/>
    <n v="2"/>
    <n v="3"/>
    <n v="4"/>
    <n v="2"/>
    <n v="1"/>
    <n v="2"/>
  </r>
  <r>
    <x v="17"/>
    <x v="1"/>
    <x v="1"/>
    <x v="392"/>
    <x v="0"/>
    <n v="24"/>
    <n v="3"/>
    <s v="Medical"/>
    <x v="0"/>
    <n v="632"/>
    <x v="2"/>
    <x v="1"/>
    <n v="38"/>
    <n v="3"/>
    <n v="1"/>
    <s v="Sales Representative"/>
    <x v="0"/>
    <s v="Married"/>
    <x v="454"/>
    <n v="5530"/>
    <n v="0"/>
    <x v="0"/>
    <x v="1"/>
    <n v="13"/>
    <n v="3"/>
    <n v="3"/>
    <n v="80"/>
    <n v="2"/>
    <n v="3"/>
    <n v="3"/>
    <n v="3"/>
    <n v="2"/>
    <n v="2"/>
    <n v="2"/>
    <n v="1"/>
  </r>
  <r>
    <x v="8"/>
    <x v="1"/>
    <x v="0"/>
    <x v="393"/>
    <x v="1"/>
    <n v="10"/>
    <n v="3"/>
    <s v="Medical"/>
    <x v="0"/>
    <n v="634"/>
    <x v="1"/>
    <x v="0"/>
    <n v="76"/>
    <n v="3"/>
    <n v="2"/>
    <s v="Healthcare Representative"/>
    <x v="2"/>
    <s v="Married"/>
    <x v="427"/>
    <n v="22174"/>
    <n v="3"/>
    <x v="0"/>
    <x v="1"/>
    <n v="19"/>
    <n v="3"/>
    <n v="3"/>
    <n v="80"/>
    <n v="1"/>
    <n v="18"/>
    <n v="4"/>
    <n v="3"/>
    <n v="1"/>
    <n v="0"/>
    <n v="0"/>
    <n v="0"/>
  </r>
  <r>
    <x v="2"/>
    <x v="1"/>
    <x v="0"/>
    <x v="394"/>
    <x v="1"/>
    <n v="1"/>
    <n v="4"/>
    <s v="Life Sciences"/>
    <x v="0"/>
    <n v="635"/>
    <x v="0"/>
    <x v="0"/>
    <n v="65"/>
    <n v="3"/>
    <n v="2"/>
    <s v="Manufacturing Director"/>
    <x v="1"/>
    <s v="Married"/>
    <x v="455"/>
    <n v="15701"/>
    <n v="6"/>
    <x v="0"/>
    <x v="1"/>
    <n v="12"/>
    <n v="3"/>
    <n v="2"/>
    <n v="80"/>
    <n v="1"/>
    <n v="8"/>
    <n v="2"/>
    <n v="2"/>
    <n v="6"/>
    <n v="5"/>
    <n v="4"/>
    <n v="3"/>
  </r>
  <r>
    <x v="1"/>
    <x v="1"/>
    <x v="0"/>
    <x v="395"/>
    <x v="1"/>
    <n v="18"/>
    <n v="4"/>
    <s v="Life Sciences"/>
    <x v="0"/>
    <n v="638"/>
    <x v="2"/>
    <x v="1"/>
    <n v="58"/>
    <n v="2"/>
    <n v="5"/>
    <s v="Research Director"/>
    <x v="2"/>
    <s v="Divorced"/>
    <x v="456"/>
    <n v="2125"/>
    <n v="1"/>
    <x v="0"/>
    <x v="0"/>
    <n v="17"/>
    <n v="3"/>
    <n v="3"/>
    <n v="80"/>
    <n v="1"/>
    <n v="31"/>
    <n v="5"/>
    <n v="3"/>
    <n v="31"/>
    <n v="9"/>
    <n v="0"/>
    <n v="9"/>
  </r>
  <r>
    <x v="17"/>
    <x v="1"/>
    <x v="0"/>
    <x v="27"/>
    <x v="1"/>
    <n v="23"/>
    <n v="3"/>
    <s v="Medical"/>
    <x v="0"/>
    <n v="639"/>
    <x v="0"/>
    <x v="1"/>
    <n v="89"/>
    <n v="4"/>
    <n v="1"/>
    <s v="Research Scientist"/>
    <x v="0"/>
    <s v="Married"/>
    <x v="457"/>
    <n v="21630"/>
    <n v="1"/>
    <x v="0"/>
    <x v="0"/>
    <n v="11"/>
    <n v="3"/>
    <n v="2"/>
    <n v="80"/>
    <n v="2"/>
    <n v="6"/>
    <n v="3"/>
    <n v="3"/>
    <n v="6"/>
    <n v="5"/>
    <n v="1"/>
    <n v="4"/>
  </r>
  <r>
    <x v="25"/>
    <x v="1"/>
    <x v="0"/>
    <x v="396"/>
    <x v="0"/>
    <n v="28"/>
    <n v="2"/>
    <s v="Marketing"/>
    <x v="0"/>
    <n v="641"/>
    <x v="3"/>
    <x v="1"/>
    <n v="66"/>
    <n v="3"/>
    <n v="2"/>
    <s v="Sales Executive"/>
    <x v="1"/>
    <s v="Married"/>
    <x v="458"/>
    <n v="7428"/>
    <n v="1"/>
    <x v="0"/>
    <x v="1"/>
    <n v="20"/>
    <n v="4"/>
    <n v="4"/>
    <n v="80"/>
    <n v="2"/>
    <n v="6"/>
    <n v="5"/>
    <n v="4"/>
    <n v="5"/>
    <n v="3"/>
    <n v="1"/>
    <n v="4"/>
  </r>
  <r>
    <x v="17"/>
    <x v="1"/>
    <x v="0"/>
    <x v="397"/>
    <x v="1"/>
    <n v="17"/>
    <n v="2"/>
    <s v="Other"/>
    <x v="0"/>
    <n v="643"/>
    <x v="2"/>
    <x v="1"/>
    <n v="94"/>
    <n v="2"/>
    <n v="1"/>
    <s v="Laboratory Technician"/>
    <x v="1"/>
    <s v="Married"/>
    <x v="459"/>
    <n v="9100"/>
    <n v="1"/>
    <x v="0"/>
    <x v="1"/>
    <n v="21"/>
    <n v="4"/>
    <n v="4"/>
    <n v="80"/>
    <n v="1"/>
    <n v="1"/>
    <n v="2"/>
    <n v="3"/>
    <n v="1"/>
    <n v="0"/>
    <n v="0"/>
    <n v="0"/>
  </r>
  <r>
    <x v="24"/>
    <x v="1"/>
    <x v="1"/>
    <x v="398"/>
    <x v="2"/>
    <n v="3"/>
    <n v="3"/>
    <s v="Medical"/>
    <x v="0"/>
    <n v="644"/>
    <x v="3"/>
    <x v="1"/>
    <n v="99"/>
    <n v="3"/>
    <n v="5"/>
    <s v="Manager"/>
    <x v="1"/>
    <s v="Married"/>
    <x v="460"/>
    <n v="7999"/>
    <n v="1"/>
    <x v="0"/>
    <x v="1"/>
    <n v="11"/>
    <n v="3"/>
    <n v="3"/>
    <n v="80"/>
    <n v="1"/>
    <n v="32"/>
    <n v="2"/>
    <n v="3"/>
    <n v="32"/>
    <n v="5"/>
    <n v="10"/>
    <n v="7"/>
  </r>
  <r>
    <x v="36"/>
    <x v="1"/>
    <x v="0"/>
    <x v="399"/>
    <x v="0"/>
    <n v="13"/>
    <n v="1"/>
    <s v="Medical"/>
    <x v="0"/>
    <n v="645"/>
    <x v="0"/>
    <x v="1"/>
    <n v="40"/>
    <n v="3"/>
    <n v="1"/>
    <s v="Sales Representative"/>
    <x v="2"/>
    <s v="Married"/>
    <x v="461"/>
    <n v="26376"/>
    <n v="1"/>
    <x v="0"/>
    <x v="1"/>
    <n v="11"/>
    <n v="3"/>
    <n v="3"/>
    <n v="80"/>
    <n v="0"/>
    <n v="7"/>
    <n v="1"/>
    <n v="3"/>
    <n v="7"/>
    <n v="4"/>
    <n v="0"/>
    <n v="6"/>
  </r>
  <r>
    <x v="17"/>
    <x v="0"/>
    <x v="1"/>
    <x v="400"/>
    <x v="1"/>
    <n v="7"/>
    <n v="3"/>
    <s v="Life Sciences"/>
    <x v="0"/>
    <n v="647"/>
    <x v="3"/>
    <x v="0"/>
    <n v="55"/>
    <n v="3"/>
    <n v="1"/>
    <s v="Laboratory Technician"/>
    <x v="2"/>
    <s v="Married"/>
    <x v="407"/>
    <n v="14168"/>
    <n v="1"/>
    <x v="0"/>
    <x v="0"/>
    <n v="16"/>
    <n v="3"/>
    <n v="4"/>
    <n v="80"/>
    <n v="1"/>
    <n v="6"/>
    <n v="4"/>
    <n v="3"/>
    <n v="6"/>
    <n v="3"/>
    <n v="1"/>
    <n v="2"/>
  </r>
  <r>
    <x v="7"/>
    <x v="0"/>
    <x v="1"/>
    <x v="401"/>
    <x v="0"/>
    <n v="12"/>
    <n v="4"/>
    <s v="Life Sciences"/>
    <x v="0"/>
    <n v="648"/>
    <x v="0"/>
    <x v="1"/>
    <n v="74"/>
    <n v="2"/>
    <n v="1"/>
    <s v="Sales Representative"/>
    <x v="3"/>
    <s v="Married"/>
    <x v="462"/>
    <n v="14470"/>
    <n v="1"/>
    <x v="0"/>
    <x v="1"/>
    <n v="18"/>
    <n v="3"/>
    <n v="3"/>
    <n v="80"/>
    <n v="1"/>
    <n v="1"/>
    <n v="2"/>
    <n v="4"/>
    <n v="1"/>
    <n v="0"/>
    <n v="0"/>
    <n v="0"/>
  </r>
  <r>
    <x v="13"/>
    <x v="1"/>
    <x v="0"/>
    <x v="402"/>
    <x v="1"/>
    <n v="1"/>
    <n v="2"/>
    <s v="Life Sciences"/>
    <x v="0"/>
    <n v="649"/>
    <x v="0"/>
    <x v="1"/>
    <n v="83"/>
    <n v="2"/>
    <n v="1"/>
    <s v="Research Scientist"/>
    <x v="0"/>
    <s v="Married"/>
    <x v="463"/>
    <n v="22794"/>
    <n v="1"/>
    <x v="0"/>
    <x v="0"/>
    <n v="13"/>
    <n v="3"/>
    <n v="4"/>
    <n v="80"/>
    <n v="1"/>
    <n v="6"/>
    <n v="3"/>
    <n v="3"/>
    <n v="6"/>
    <n v="5"/>
    <n v="1"/>
    <n v="3"/>
  </r>
  <r>
    <x v="12"/>
    <x v="0"/>
    <x v="0"/>
    <x v="403"/>
    <x v="0"/>
    <n v="13"/>
    <n v="4"/>
    <s v="Medical"/>
    <x v="0"/>
    <n v="650"/>
    <x v="0"/>
    <x v="1"/>
    <n v="46"/>
    <n v="3"/>
    <n v="2"/>
    <s v="Sales Executive"/>
    <x v="3"/>
    <s v="Divorced"/>
    <x v="464"/>
    <n v="11512"/>
    <n v="2"/>
    <x v="0"/>
    <x v="1"/>
    <n v="17"/>
    <n v="3"/>
    <n v="3"/>
    <n v="80"/>
    <n v="0"/>
    <n v="9"/>
    <n v="2"/>
    <n v="1"/>
    <n v="3"/>
    <n v="1"/>
    <n v="1"/>
    <n v="2"/>
  </r>
  <r>
    <x v="10"/>
    <x v="1"/>
    <x v="0"/>
    <x v="404"/>
    <x v="1"/>
    <n v="25"/>
    <n v="2"/>
    <s v="Other"/>
    <x v="0"/>
    <n v="652"/>
    <x v="3"/>
    <x v="1"/>
    <n v="54"/>
    <n v="2"/>
    <n v="2"/>
    <s v="Laboratory Technician"/>
    <x v="0"/>
    <s v="Single"/>
    <x v="465"/>
    <n v="14004"/>
    <n v="4"/>
    <x v="0"/>
    <x v="1"/>
    <n v="14"/>
    <n v="3"/>
    <n v="4"/>
    <n v="80"/>
    <n v="0"/>
    <n v="9"/>
    <n v="3"/>
    <n v="3"/>
    <n v="3"/>
    <n v="2"/>
    <n v="0"/>
    <n v="2"/>
  </r>
  <r>
    <x v="12"/>
    <x v="1"/>
    <x v="0"/>
    <x v="405"/>
    <x v="0"/>
    <n v="6"/>
    <n v="4"/>
    <s v="Medical"/>
    <x v="0"/>
    <n v="653"/>
    <x v="3"/>
    <x v="1"/>
    <n v="66"/>
    <n v="4"/>
    <n v="2"/>
    <s v="Sales Executive"/>
    <x v="0"/>
    <s v="Divorced"/>
    <x v="466"/>
    <n v="6219"/>
    <n v="4"/>
    <x v="0"/>
    <x v="1"/>
    <n v="22"/>
    <n v="4"/>
    <n v="4"/>
    <n v="80"/>
    <n v="2"/>
    <n v="13"/>
    <n v="4"/>
    <n v="4"/>
    <n v="7"/>
    <n v="7"/>
    <n v="5"/>
    <n v="7"/>
  </r>
  <r>
    <x v="4"/>
    <x v="1"/>
    <x v="0"/>
    <x v="293"/>
    <x v="1"/>
    <n v="6"/>
    <n v="4"/>
    <s v="Medical"/>
    <x v="0"/>
    <n v="655"/>
    <x v="3"/>
    <x v="0"/>
    <n v="66"/>
    <n v="2"/>
    <n v="1"/>
    <s v="Research Scientist"/>
    <x v="2"/>
    <s v="Divorced"/>
    <x v="467"/>
    <n v="5013"/>
    <n v="0"/>
    <x v="0"/>
    <x v="1"/>
    <n v="12"/>
    <n v="3"/>
    <n v="3"/>
    <n v="80"/>
    <n v="2"/>
    <n v="6"/>
    <n v="5"/>
    <n v="2"/>
    <n v="5"/>
    <n v="3"/>
    <n v="0"/>
    <n v="3"/>
  </r>
  <r>
    <x v="2"/>
    <x v="1"/>
    <x v="0"/>
    <x v="406"/>
    <x v="0"/>
    <n v="2"/>
    <n v="3"/>
    <s v="Marketing"/>
    <x v="0"/>
    <n v="656"/>
    <x v="2"/>
    <x v="1"/>
    <n v="75"/>
    <n v="3"/>
    <n v="2"/>
    <s v="Sales Executive"/>
    <x v="2"/>
    <s v="Married"/>
    <x v="468"/>
    <n v="3010"/>
    <n v="4"/>
    <x v="0"/>
    <x v="0"/>
    <n v="11"/>
    <n v="3"/>
    <n v="3"/>
    <n v="80"/>
    <n v="1"/>
    <n v="17"/>
    <n v="3"/>
    <n v="2"/>
    <n v="3"/>
    <n v="0"/>
    <n v="1"/>
    <n v="0"/>
  </r>
  <r>
    <x v="35"/>
    <x v="1"/>
    <x v="0"/>
    <x v="134"/>
    <x v="1"/>
    <n v="1"/>
    <n v="3"/>
    <s v="Life Sciences"/>
    <x v="0"/>
    <n v="657"/>
    <x v="2"/>
    <x v="0"/>
    <n v="83"/>
    <n v="2"/>
    <n v="1"/>
    <s v="Research Scientist"/>
    <x v="1"/>
    <s v="Single"/>
    <x v="469"/>
    <n v="11757"/>
    <n v="1"/>
    <x v="0"/>
    <x v="1"/>
    <n v="13"/>
    <n v="3"/>
    <n v="4"/>
    <n v="80"/>
    <n v="0"/>
    <n v="1"/>
    <n v="0"/>
    <n v="4"/>
    <n v="1"/>
    <n v="0"/>
    <n v="0"/>
    <n v="0"/>
  </r>
  <r>
    <x v="19"/>
    <x v="1"/>
    <x v="0"/>
    <x v="399"/>
    <x v="1"/>
    <n v="2"/>
    <n v="4"/>
    <s v="Life Sciences"/>
    <x v="0"/>
    <n v="659"/>
    <x v="1"/>
    <x v="0"/>
    <n v="81"/>
    <n v="3"/>
    <n v="2"/>
    <s v="Healthcare Representative"/>
    <x v="0"/>
    <s v="Married"/>
    <x v="470"/>
    <n v="5718"/>
    <n v="1"/>
    <x v="0"/>
    <x v="1"/>
    <n v="13"/>
    <n v="3"/>
    <n v="2"/>
    <n v="80"/>
    <n v="2"/>
    <n v="10"/>
    <n v="4"/>
    <n v="3"/>
    <n v="10"/>
    <n v="2"/>
    <n v="2"/>
    <n v="2"/>
  </r>
  <r>
    <x v="23"/>
    <x v="1"/>
    <x v="0"/>
    <x v="407"/>
    <x v="1"/>
    <n v="6"/>
    <n v="4"/>
    <s v="Other"/>
    <x v="0"/>
    <n v="661"/>
    <x v="0"/>
    <x v="1"/>
    <n v="50"/>
    <n v="2"/>
    <n v="4"/>
    <s v="Research Director"/>
    <x v="0"/>
    <s v="Divorced"/>
    <x v="471"/>
    <n v="2671"/>
    <n v="4"/>
    <x v="0"/>
    <x v="0"/>
    <n v="14"/>
    <n v="3"/>
    <n v="3"/>
    <n v="80"/>
    <n v="1"/>
    <n v="21"/>
    <n v="3"/>
    <n v="2"/>
    <n v="1"/>
    <n v="0"/>
    <n v="0"/>
    <n v="0"/>
  </r>
  <r>
    <x v="8"/>
    <x v="1"/>
    <x v="0"/>
    <x v="408"/>
    <x v="1"/>
    <n v="1"/>
    <n v="1"/>
    <s v="Life Sciences"/>
    <x v="0"/>
    <n v="662"/>
    <x v="1"/>
    <x v="0"/>
    <n v="43"/>
    <n v="3"/>
    <n v="1"/>
    <s v="Research Scientist"/>
    <x v="3"/>
    <s v="Single"/>
    <x v="472"/>
    <n v="14561"/>
    <n v="3"/>
    <x v="0"/>
    <x v="1"/>
    <n v="17"/>
    <n v="3"/>
    <n v="4"/>
    <n v="80"/>
    <n v="0"/>
    <n v="8"/>
    <n v="3"/>
    <n v="2"/>
    <n v="0"/>
    <n v="0"/>
    <n v="0"/>
    <n v="0"/>
  </r>
  <r>
    <x v="23"/>
    <x v="1"/>
    <x v="1"/>
    <x v="301"/>
    <x v="1"/>
    <n v="9"/>
    <n v="5"/>
    <s v="Medical"/>
    <x v="0"/>
    <n v="663"/>
    <x v="2"/>
    <x v="1"/>
    <n v="72"/>
    <n v="3"/>
    <n v="2"/>
    <s v="Laboratory Technician"/>
    <x v="2"/>
    <s v="Divorced"/>
    <x v="473"/>
    <n v="19627"/>
    <n v="3"/>
    <x v="0"/>
    <x v="0"/>
    <n v="13"/>
    <n v="3"/>
    <n v="2"/>
    <n v="80"/>
    <n v="1"/>
    <n v="10"/>
    <n v="3"/>
    <n v="3"/>
    <n v="8"/>
    <n v="7"/>
    <n v="4"/>
    <n v="7"/>
  </r>
  <r>
    <x v="26"/>
    <x v="1"/>
    <x v="0"/>
    <x v="409"/>
    <x v="1"/>
    <n v="1"/>
    <n v="4"/>
    <s v="Life Sciences"/>
    <x v="0"/>
    <n v="664"/>
    <x v="2"/>
    <x v="0"/>
    <n v="40"/>
    <n v="2"/>
    <n v="4"/>
    <s v="Manager"/>
    <x v="3"/>
    <s v="Married"/>
    <x v="474"/>
    <n v="17997"/>
    <n v="7"/>
    <x v="0"/>
    <x v="1"/>
    <n v="11"/>
    <n v="3"/>
    <n v="1"/>
    <n v="80"/>
    <n v="1"/>
    <n v="21"/>
    <n v="3"/>
    <n v="1"/>
    <n v="3"/>
    <n v="2"/>
    <n v="0"/>
    <n v="2"/>
  </r>
  <r>
    <x v="20"/>
    <x v="1"/>
    <x v="0"/>
    <x v="410"/>
    <x v="2"/>
    <n v="1"/>
    <n v="4"/>
    <s v="Life Sciences"/>
    <x v="0"/>
    <n v="665"/>
    <x v="3"/>
    <x v="0"/>
    <n v="50"/>
    <n v="2"/>
    <n v="2"/>
    <s v="Human Resources"/>
    <x v="2"/>
    <s v="Single"/>
    <x v="475"/>
    <n v="26894"/>
    <n v="4"/>
    <x v="0"/>
    <x v="1"/>
    <n v="11"/>
    <n v="3"/>
    <n v="2"/>
    <n v="80"/>
    <n v="0"/>
    <n v="10"/>
    <n v="1"/>
    <n v="4"/>
    <n v="2"/>
    <n v="2"/>
    <n v="0"/>
    <n v="2"/>
  </r>
  <r>
    <x v="13"/>
    <x v="1"/>
    <x v="0"/>
    <x v="411"/>
    <x v="0"/>
    <n v="14"/>
    <n v="3"/>
    <s v="Technical Degree"/>
    <x v="0"/>
    <n v="666"/>
    <x v="1"/>
    <x v="0"/>
    <n v="31"/>
    <n v="3"/>
    <n v="1"/>
    <s v="Sales Representative"/>
    <x v="2"/>
    <s v="Divorced"/>
    <x v="476"/>
    <n v="2912"/>
    <n v="1"/>
    <x v="0"/>
    <x v="0"/>
    <n v="18"/>
    <n v="3"/>
    <n v="4"/>
    <n v="80"/>
    <n v="2"/>
    <n v="8"/>
    <n v="3"/>
    <n v="3"/>
    <n v="8"/>
    <n v="2"/>
    <n v="0"/>
    <n v="6"/>
  </r>
  <r>
    <x v="4"/>
    <x v="0"/>
    <x v="0"/>
    <x v="104"/>
    <x v="0"/>
    <n v="2"/>
    <n v="1"/>
    <s v="Marketing"/>
    <x v="0"/>
    <n v="667"/>
    <x v="1"/>
    <x v="1"/>
    <n v="85"/>
    <n v="3"/>
    <n v="1"/>
    <s v="Sales Representative"/>
    <x v="3"/>
    <s v="Divorced"/>
    <x v="477"/>
    <n v="16346"/>
    <n v="0"/>
    <x v="0"/>
    <x v="1"/>
    <n v="11"/>
    <n v="3"/>
    <n v="2"/>
    <n v="80"/>
    <n v="1"/>
    <n v="5"/>
    <n v="3"/>
    <n v="3"/>
    <n v="4"/>
    <n v="3"/>
    <n v="0"/>
    <n v="2"/>
  </r>
  <r>
    <x v="18"/>
    <x v="1"/>
    <x v="0"/>
    <x v="412"/>
    <x v="0"/>
    <n v="22"/>
    <n v="1"/>
    <s v="Technical Degree"/>
    <x v="0"/>
    <n v="669"/>
    <x v="1"/>
    <x v="1"/>
    <n v="49"/>
    <n v="3"/>
    <n v="1"/>
    <s v="Sales Representative"/>
    <x v="2"/>
    <s v="Single"/>
    <x v="478"/>
    <n v="24444"/>
    <n v="1"/>
    <x v="0"/>
    <x v="1"/>
    <n v="11"/>
    <n v="3"/>
    <n v="3"/>
    <n v="80"/>
    <n v="0"/>
    <n v="3"/>
    <n v="2"/>
    <n v="3"/>
    <n v="3"/>
    <n v="2"/>
    <n v="1"/>
    <n v="2"/>
  </r>
  <r>
    <x v="20"/>
    <x v="1"/>
    <x v="0"/>
    <x v="250"/>
    <x v="1"/>
    <n v="3"/>
    <n v="4"/>
    <s v="Other"/>
    <x v="0"/>
    <n v="671"/>
    <x v="2"/>
    <x v="1"/>
    <n v="35"/>
    <n v="3"/>
    <n v="5"/>
    <s v="Manager"/>
    <x v="0"/>
    <s v="Married"/>
    <x v="479"/>
    <n v="9358"/>
    <n v="4"/>
    <x v="0"/>
    <x v="0"/>
    <n v="12"/>
    <n v="3"/>
    <n v="1"/>
    <n v="80"/>
    <n v="1"/>
    <n v="26"/>
    <n v="2"/>
    <n v="4"/>
    <n v="2"/>
    <n v="2"/>
    <n v="0"/>
    <n v="1"/>
  </r>
  <r>
    <x v="15"/>
    <x v="1"/>
    <x v="0"/>
    <x v="413"/>
    <x v="1"/>
    <n v="6"/>
    <n v="1"/>
    <s v="Medical"/>
    <x v="0"/>
    <n v="675"/>
    <x v="3"/>
    <x v="1"/>
    <n v="69"/>
    <n v="3"/>
    <n v="1"/>
    <s v="Research Scientist"/>
    <x v="2"/>
    <s v="Married"/>
    <x v="480"/>
    <n v="12145"/>
    <n v="0"/>
    <x v="0"/>
    <x v="1"/>
    <n v="20"/>
    <n v="4"/>
    <n v="4"/>
    <n v="80"/>
    <n v="0"/>
    <n v="3"/>
    <n v="3"/>
    <n v="3"/>
    <n v="2"/>
    <n v="2"/>
    <n v="2"/>
    <n v="2"/>
  </r>
  <r>
    <x v="3"/>
    <x v="1"/>
    <x v="0"/>
    <x v="414"/>
    <x v="0"/>
    <n v="8"/>
    <n v="4"/>
    <s v="Marketing"/>
    <x v="0"/>
    <n v="677"/>
    <x v="1"/>
    <x v="1"/>
    <n v="39"/>
    <n v="3"/>
    <n v="2"/>
    <s v="Sales Executive"/>
    <x v="2"/>
    <s v="Divorced"/>
    <x v="481"/>
    <n v="20431"/>
    <n v="0"/>
    <x v="0"/>
    <x v="1"/>
    <n v="12"/>
    <n v="3"/>
    <n v="4"/>
    <n v="80"/>
    <n v="0"/>
    <n v="6"/>
    <n v="3"/>
    <n v="3"/>
    <n v="5"/>
    <n v="0"/>
    <n v="1"/>
    <n v="2"/>
  </r>
  <r>
    <x v="5"/>
    <x v="1"/>
    <x v="0"/>
    <x v="415"/>
    <x v="1"/>
    <n v="9"/>
    <n v="4"/>
    <s v="Life Sciences"/>
    <x v="0"/>
    <n v="679"/>
    <x v="3"/>
    <x v="0"/>
    <n v="92"/>
    <n v="3"/>
    <n v="2"/>
    <s v="Research Scientist"/>
    <x v="0"/>
    <s v="Married"/>
    <x v="482"/>
    <n v="18089"/>
    <n v="1"/>
    <x v="0"/>
    <x v="0"/>
    <n v="12"/>
    <n v="3"/>
    <n v="4"/>
    <n v="80"/>
    <n v="1"/>
    <n v="6"/>
    <n v="2"/>
    <n v="2"/>
    <n v="6"/>
    <n v="4"/>
    <n v="0"/>
    <n v="5"/>
  </r>
  <r>
    <x v="7"/>
    <x v="1"/>
    <x v="1"/>
    <x v="416"/>
    <x v="1"/>
    <n v="3"/>
    <n v="3"/>
    <s v="Medical"/>
    <x v="0"/>
    <n v="680"/>
    <x v="1"/>
    <x v="0"/>
    <n v="71"/>
    <n v="3"/>
    <n v="1"/>
    <s v="Research Scientist"/>
    <x v="2"/>
    <s v="Divorced"/>
    <x v="483"/>
    <n v="22653"/>
    <n v="1"/>
    <x v="0"/>
    <x v="1"/>
    <n v="20"/>
    <n v="4"/>
    <n v="3"/>
    <n v="80"/>
    <n v="1"/>
    <n v="1"/>
    <n v="2"/>
    <n v="3"/>
    <n v="1"/>
    <n v="0"/>
    <n v="0"/>
    <n v="0"/>
  </r>
  <r>
    <x v="16"/>
    <x v="1"/>
    <x v="0"/>
    <x v="417"/>
    <x v="0"/>
    <n v="1"/>
    <n v="1"/>
    <s v="Medical"/>
    <x v="0"/>
    <n v="682"/>
    <x v="2"/>
    <x v="0"/>
    <n v="34"/>
    <n v="3"/>
    <n v="2"/>
    <s v="Sales Executive"/>
    <x v="3"/>
    <s v="Single"/>
    <x v="484"/>
    <n v="7507"/>
    <n v="7"/>
    <x v="0"/>
    <x v="1"/>
    <n v="20"/>
    <n v="4"/>
    <n v="4"/>
    <n v="80"/>
    <n v="0"/>
    <n v="18"/>
    <n v="2"/>
    <n v="4"/>
    <n v="14"/>
    <n v="7"/>
    <n v="8"/>
    <n v="10"/>
  </r>
  <r>
    <x v="13"/>
    <x v="1"/>
    <x v="0"/>
    <x v="418"/>
    <x v="1"/>
    <n v="1"/>
    <n v="5"/>
    <s v="Life Sciences"/>
    <x v="0"/>
    <n v="683"/>
    <x v="0"/>
    <x v="1"/>
    <n v="42"/>
    <n v="3"/>
    <n v="1"/>
    <s v="Research Scientist"/>
    <x v="0"/>
    <s v="Married"/>
    <x v="485"/>
    <n v="7660"/>
    <n v="1"/>
    <x v="0"/>
    <x v="1"/>
    <n v="12"/>
    <n v="3"/>
    <n v="4"/>
    <n v="80"/>
    <n v="1"/>
    <n v="10"/>
    <n v="4"/>
    <n v="2"/>
    <n v="10"/>
    <n v="9"/>
    <n v="8"/>
    <n v="8"/>
  </r>
  <r>
    <x v="28"/>
    <x v="0"/>
    <x v="1"/>
    <x v="419"/>
    <x v="0"/>
    <n v="26"/>
    <n v="4"/>
    <s v="Life Sciences"/>
    <x v="0"/>
    <n v="684"/>
    <x v="3"/>
    <x v="0"/>
    <n v="100"/>
    <n v="3"/>
    <n v="2"/>
    <s v="Sales Executive"/>
    <x v="3"/>
    <s v="Married"/>
    <x v="486"/>
    <n v="5630"/>
    <n v="2"/>
    <x v="0"/>
    <x v="1"/>
    <n v="14"/>
    <n v="3"/>
    <n v="4"/>
    <n v="80"/>
    <n v="2"/>
    <n v="5"/>
    <n v="4"/>
    <n v="3"/>
    <n v="1"/>
    <n v="1"/>
    <n v="0"/>
    <n v="0"/>
  </r>
  <r>
    <x v="25"/>
    <x v="1"/>
    <x v="0"/>
    <x v="420"/>
    <x v="1"/>
    <n v="6"/>
    <n v="3"/>
    <s v="Life Sciences"/>
    <x v="0"/>
    <n v="686"/>
    <x v="1"/>
    <x v="0"/>
    <n v="71"/>
    <n v="3"/>
    <n v="1"/>
    <s v="Laboratory Technician"/>
    <x v="0"/>
    <s v="Married"/>
    <x v="487"/>
    <n v="17759"/>
    <n v="1"/>
    <x v="0"/>
    <x v="0"/>
    <n v="13"/>
    <n v="3"/>
    <n v="3"/>
    <n v="80"/>
    <n v="1"/>
    <n v="3"/>
    <n v="2"/>
    <n v="3"/>
    <n v="3"/>
    <n v="2"/>
    <n v="0"/>
    <n v="2"/>
  </r>
  <r>
    <x v="2"/>
    <x v="1"/>
    <x v="0"/>
    <x v="421"/>
    <x v="1"/>
    <n v="3"/>
    <n v="3"/>
    <s v="Other"/>
    <x v="0"/>
    <n v="689"/>
    <x v="1"/>
    <x v="1"/>
    <n v="36"/>
    <n v="3"/>
    <n v="3"/>
    <s v="Manufacturing Director"/>
    <x v="2"/>
    <s v="Married"/>
    <x v="488"/>
    <n v="9606"/>
    <n v="1"/>
    <x v="0"/>
    <x v="1"/>
    <n v="15"/>
    <n v="3"/>
    <n v="3"/>
    <n v="80"/>
    <n v="1"/>
    <n v="10"/>
    <n v="2"/>
    <n v="3"/>
    <n v="10"/>
    <n v="7"/>
    <n v="7"/>
    <n v="8"/>
  </r>
  <r>
    <x v="11"/>
    <x v="1"/>
    <x v="0"/>
    <x v="422"/>
    <x v="0"/>
    <n v="3"/>
    <n v="2"/>
    <s v="Medical"/>
    <x v="0"/>
    <n v="690"/>
    <x v="0"/>
    <x v="0"/>
    <n v="62"/>
    <n v="3"/>
    <n v="2"/>
    <s v="Sales Executive"/>
    <x v="2"/>
    <s v="Married"/>
    <x v="489"/>
    <n v="3487"/>
    <n v="1"/>
    <x v="0"/>
    <x v="1"/>
    <n v="14"/>
    <n v="3"/>
    <n v="1"/>
    <n v="80"/>
    <n v="1"/>
    <n v="6"/>
    <n v="5"/>
    <n v="2"/>
    <n v="6"/>
    <n v="0"/>
    <n v="1"/>
    <n v="2"/>
  </r>
  <r>
    <x v="10"/>
    <x v="1"/>
    <x v="0"/>
    <x v="224"/>
    <x v="1"/>
    <n v="6"/>
    <n v="4"/>
    <s v="Life Sciences"/>
    <x v="0"/>
    <n v="691"/>
    <x v="0"/>
    <x v="1"/>
    <n v="82"/>
    <n v="1"/>
    <n v="2"/>
    <s v="Research Scientist"/>
    <x v="0"/>
    <s v="Single"/>
    <x v="490"/>
    <n v="19368"/>
    <n v="1"/>
    <x v="0"/>
    <x v="1"/>
    <n v="13"/>
    <n v="3"/>
    <n v="2"/>
    <n v="80"/>
    <n v="0"/>
    <n v="17"/>
    <n v="3"/>
    <n v="3"/>
    <n v="17"/>
    <n v="11"/>
    <n v="11"/>
    <n v="8"/>
  </r>
  <r>
    <x v="3"/>
    <x v="1"/>
    <x v="1"/>
    <x v="310"/>
    <x v="1"/>
    <n v="6"/>
    <n v="3"/>
    <s v="Life Sciences"/>
    <x v="0"/>
    <n v="692"/>
    <x v="1"/>
    <x v="1"/>
    <n v="30"/>
    <n v="3"/>
    <n v="2"/>
    <s v="Healthcare Representative"/>
    <x v="0"/>
    <s v="Divorced"/>
    <x v="491"/>
    <n v="5335"/>
    <n v="3"/>
    <x v="0"/>
    <x v="1"/>
    <n v="23"/>
    <n v="4"/>
    <n v="3"/>
    <n v="80"/>
    <n v="1"/>
    <n v="15"/>
    <n v="2"/>
    <n v="1"/>
    <n v="13"/>
    <n v="11"/>
    <n v="4"/>
    <n v="7"/>
  </r>
  <r>
    <x v="33"/>
    <x v="1"/>
    <x v="0"/>
    <x v="78"/>
    <x v="2"/>
    <n v="19"/>
    <n v="4"/>
    <s v="Medical"/>
    <x v="0"/>
    <n v="698"/>
    <x v="1"/>
    <x v="1"/>
    <n v="88"/>
    <n v="3"/>
    <n v="3"/>
    <s v="Human Resources"/>
    <x v="1"/>
    <s v="Married"/>
    <x v="492"/>
    <n v="6729"/>
    <n v="2"/>
    <x v="0"/>
    <x v="1"/>
    <n v="15"/>
    <n v="3"/>
    <n v="3"/>
    <n v="80"/>
    <n v="1"/>
    <n v="16"/>
    <n v="1"/>
    <n v="4"/>
    <n v="9"/>
    <n v="7"/>
    <n v="7"/>
    <n v="1"/>
  </r>
  <r>
    <x v="9"/>
    <x v="1"/>
    <x v="0"/>
    <x v="423"/>
    <x v="1"/>
    <n v="9"/>
    <n v="2"/>
    <s v="Medical"/>
    <x v="0"/>
    <n v="699"/>
    <x v="0"/>
    <x v="1"/>
    <n v="48"/>
    <n v="2"/>
    <n v="2"/>
    <s v="Manufacturing Director"/>
    <x v="1"/>
    <s v="Divorced"/>
    <x v="493"/>
    <n v="13934"/>
    <n v="2"/>
    <x v="0"/>
    <x v="0"/>
    <n v="11"/>
    <n v="3"/>
    <n v="3"/>
    <n v="80"/>
    <n v="1"/>
    <n v="13"/>
    <n v="2"/>
    <n v="3"/>
    <n v="3"/>
    <n v="2"/>
    <n v="0"/>
    <n v="2"/>
  </r>
  <r>
    <x v="4"/>
    <x v="1"/>
    <x v="0"/>
    <x v="59"/>
    <x v="1"/>
    <n v="3"/>
    <n v="4"/>
    <s v="Medical"/>
    <x v="0"/>
    <n v="700"/>
    <x v="3"/>
    <x v="1"/>
    <n v="54"/>
    <n v="2"/>
    <n v="1"/>
    <s v="Research Scientist"/>
    <x v="0"/>
    <s v="Single"/>
    <x v="494"/>
    <n v="15174"/>
    <n v="0"/>
    <x v="0"/>
    <x v="1"/>
    <n v="13"/>
    <n v="3"/>
    <n v="4"/>
    <n v="80"/>
    <n v="0"/>
    <n v="5"/>
    <n v="0"/>
    <n v="3"/>
    <n v="4"/>
    <n v="2"/>
    <n v="1"/>
    <n v="1"/>
  </r>
  <r>
    <x v="35"/>
    <x v="0"/>
    <x v="0"/>
    <x v="335"/>
    <x v="1"/>
    <n v="10"/>
    <n v="1"/>
    <s v="Medical"/>
    <x v="0"/>
    <n v="701"/>
    <x v="2"/>
    <x v="1"/>
    <n v="32"/>
    <n v="3"/>
    <n v="1"/>
    <s v="Research Scientist"/>
    <x v="2"/>
    <s v="Single"/>
    <x v="495"/>
    <n v="26999"/>
    <n v="1"/>
    <x v="0"/>
    <x v="0"/>
    <n v="11"/>
    <n v="3"/>
    <n v="4"/>
    <n v="80"/>
    <n v="0"/>
    <n v="1"/>
    <n v="5"/>
    <n v="3"/>
    <n v="1"/>
    <n v="0"/>
    <n v="1"/>
    <n v="1"/>
  </r>
  <r>
    <x v="3"/>
    <x v="0"/>
    <x v="1"/>
    <x v="424"/>
    <x v="1"/>
    <n v="3"/>
    <n v="3"/>
    <s v="Life Sciences"/>
    <x v="0"/>
    <n v="702"/>
    <x v="3"/>
    <x v="1"/>
    <n v="70"/>
    <n v="3"/>
    <n v="1"/>
    <s v="Research Scientist"/>
    <x v="3"/>
    <s v="Single"/>
    <x v="496"/>
    <n v="3164"/>
    <n v="1"/>
    <x v="0"/>
    <x v="0"/>
    <n v="11"/>
    <n v="3"/>
    <n v="1"/>
    <n v="80"/>
    <n v="0"/>
    <n v="10"/>
    <n v="3"/>
    <n v="3"/>
    <n v="10"/>
    <n v="8"/>
    <n v="9"/>
    <n v="7"/>
  </r>
  <r>
    <x v="10"/>
    <x v="1"/>
    <x v="2"/>
    <x v="425"/>
    <x v="1"/>
    <n v="3"/>
    <n v="3"/>
    <s v="Life Sciences"/>
    <x v="0"/>
    <n v="704"/>
    <x v="1"/>
    <x v="1"/>
    <n v="41"/>
    <n v="2"/>
    <n v="1"/>
    <s v="Laboratory Technician"/>
    <x v="2"/>
    <s v="Married"/>
    <x v="497"/>
    <n v="16900"/>
    <n v="1"/>
    <x v="0"/>
    <x v="1"/>
    <n v="18"/>
    <n v="3"/>
    <n v="3"/>
    <n v="80"/>
    <n v="2"/>
    <n v="1"/>
    <n v="3"/>
    <n v="3"/>
    <n v="1"/>
    <n v="0"/>
    <n v="0"/>
    <n v="0"/>
  </r>
  <r>
    <x v="30"/>
    <x v="1"/>
    <x v="0"/>
    <x v="426"/>
    <x v="1"/>
    <n v="4"/>
    <n v="3"/>
    <s v="Medical"/>
    <x v="0"/>
    <n v="705"/>
    <x v="3"/>
    <x v="1"/>
    <n v="58"/>
    <n v="4"/>
    <n v="1"/>
    <s v="Research Scientist"/>
    <x v="3"/>
    <s v="Married"/>
    <x v="498"/>
    <n v="8544"/>
    <n v="2"/>
    <x v="0"/>
    <x v="1"/>
    <n v="16"/>
    <n v="3"/>
    <n v="1"/>
    <n v="80"/>
    <n v="1"/>
    <n v="5"/>
    <n v="3"/>
    <n v="4"/>
    <n v="3"/>
    <n v="2"/>
    <n v="0"/>
    <n v="2"/>
  </r>
  <r>
    <x v="36"/>
    <x v="1"/>
    <x v="0"/>
    <x v="313"/>
    <x v="0"/>
    <n v="8"/>
    <n v="3"/>
    <s v="Life Sciences"/>
    <x v="0"/>
    <n v="707"/>
    <x v="2"/>
    <x v="1"/>
    <n v="57"/>
    <n v="4"/>
    <n v="2"/>
    <s v="Sales Executive"/>
    <x v="1"/>
    <s v="Married"/>
    <x v="499"/>
    <n v="15678"/>
    <n v="0"/>
    <x v="0"/>
    <x v="1"/>
    <n v="22"/>
    <n v="4"/>
    <n v="3"/>
    <n v="80"/>
    <n v="1"/>
    <n v="4"/>
    <n v="4"/>
    <n v="3"/>
    <n v="3"/>
    <n v="2"/>
    <n v="1"/>
    <n v="2"/>
  </r>
  <r>
    <x v="8"/>
    <x v="1"/>
    <x v="0"/>
    <x v="427"/>
    <x v="0"/>
    <n v="7"/>
    <n v="4"/>
    <s v="Marketing"/>
    <x v="0"/>
    <n v="709"/>
    <x v="2"/>
    <x v="0"/>
    <n v="46"/>
    <n v="2"/>
    <n v="2"/>
    <s v="Sales Executive"/>
    <x v="0"/>
    <s v="Single"/>
    <x v="500"/>
    <n v="7791"/>
    <n v="0"/>
    <x v="0"/>
    <x v="1"/>
    <n v="20"/>
    <n v="4"/>
    <n v="1"/>
    <n v="80"/>
    <n v="0"/>
    <n v="8"/>
    <n v="2"/>
    <n v="3"/>
    <n v="7"/>
    <n v="7"/>
    <n v="0"/>
    <n v="5"/>
  </r>
  <r>
    <x v="11"/>
    <x v="1"/>
    <x v="1"/>
    <x v="428"/>
    <x v="1"/>
    <n v="1"/>
    <n v="4"/>
    <s v="Life Sciences"/>
    <x v="0"/>
    <n v="710"/>
    <x v="0"/>
    <x v="1"/>
    <n v="76"/>
    <n v="1"/>
    <n v="1"/>
    <s v="Research Scientist"/>
    <x v="0"/>
    <s v="Divorced"/>
    <x v="143"/>
    <n v="18959"/>
    <n v="1"/>
    <x v="0"/>
    <x v="1"/>
    <n v="18"/>
    <n v="3"/>
    <n v="4"/>
    <n v="80"/>
    <n v="1"/>
    <n v="10"/>
    <n v="5"/>
    <n v="3"/>
    <n v="10"/>
    <n v="7"/>
    <n v="2"/>
    <n v="8"/>
  </r>
  <r>
    <x v="26"/>
    <x v="1"/>
    <x v="0"/>
    <x v="429"/>
    <x v="0"/>
    <n v="2"/>
    <n v="1"/>
    <s v="Marketing"/>
    <x v="0"/>
    <n v="712"/>
    <x v="0"/>
    <x v="1"/>
    <n v="56"/>
    <n v="4"/>
    <n v="2"/>
    <s v="Sales Executive"/>
    <x v="1"/>
    <s v="Married"/>
    <x v="501"/>
    <n v="18597"/>
    <n v="3"/>
    <x v="0"/>
    <x v="1"/>
    <n v="12"/>
    <n v="3"/>
    <n v="4"/>
    <n v="80"/>
    <n v="0"/>
    <n v="12"/>
    <n v="3"/>
    <n v="3"/>
    <n v="2"/>
    <n v="2"/>
    <n v="2"/>
    <n v="2"/>
  </r>
  <r>
    <x v="4"/>
    <x v="1"/>
    <x v="1"/>
    <x v="430"/>
    <x v="0"/>
    <n v="3"/>
    <n v="1"/>
    <s v="Medical"/>
    <x v="0"/>
    <n v="714"/>
    <x v="2"/>
    <x v="0"/>
    <n v="71"/>
    <n v="4"/>
    <n v="2"/>
    <s v="Sales Executive"/>
    <x v="0"/>
    <s v="Divorced"/>
    <x v="502"/>
    <n v="16673"/>
    <n v="1"/>
    <x v="0"/>
    <x v="0"/>
    <n v="20"/>
    <n v="4"/>
    <n v="2"/>
    <n v="80"/>
    <n v="2"/>
    <n v="6"/>
    <n v="3"/>
    <n v="3"/>
    <n v="6"/>
    <n v="5"/>
    <n v="0"/>
    <n v="4"/>
  </r>
  <r>
    <x v="2"/>
    <x v="1"/>
    <x v="0"/>
    <x v="70"/>
    <x v="1"/>
    <n v="10"/>
    <n v="2"/>
    <s v="Life Sciences"/>
    <x v="0"/>
    <n v="715"/>
    <x v="2"/>
    <x v="1"/>
    <n v="80"/>
    <n v="4"/>
    <n v="1"/>
    <s v="Research Scientist"/>
    <x v="0"/>
    <s v="Single"/>
    <x v="503"/>
    <n v="15232"/>
    <n v="3"/>
    <x v="0"/>
    <x v="1"/>
    <n v="17"/>
    <n v="3"/>
    <n v="1"/>
    <n v="80"/>
    <n v="0"/>
    <n v="4"/>
    <n v="2"/>
    <n v="3"/>
    <n v="1"/>
    <n v="0"/>
    <n v="0"/>
    <n v="0"/>
  </r>
  <r>
    <x v="24"/>
    <x v="1"/>
    <x v="0"/>
    <x v="431"/>
    <x v="1"/>
    <n v="28"/>
    <n v="1"/>
    <s v="Medical"/>
    <x v="0"/>
    <n v="716"/>
    <x v="2"/>
    <x v="1"/>
    <n v="74"/>
    <n v="4"/>
    <n v="1"/>
    <s v="Laboratory Technician"/>
    <x v="2"/>
    <s v="Married"/>
    <x v="504"/>
    <n v="3297"/>
    <n v="1"/>
    <x v="0"/>
    <x v="0"/>
    <n v="11"/>
    <n v="3"/>
    <n v="3"/>
    <n v="80"/>
    <n v="3"/>
    <n v="20"/>
    <n v="3"/>
    <n v="3"/>
    <n v="20"/>
    <n v="8"/>
    <n v="3"/>
    <n v="8"/>
  </r>
  <r>
    <x v="13"/>
    <x v="1"/>
    <x v="0"/>
    <x v="432"/>
    <x v="1"/>
    <n v="9"/>
    <n v="3"/>
    <s v="Medical"/>
    <x v="0"/>
    <n v="717"/>
    <x v="2"/>
    <x v="0"/>
    <n v="46"/>
    <n v="2"/>
    <n v="3"/>
    <s v="Healthcare Representative"/>
    <x v="1"/>
    <s v="Single"/>
    <x v="505"/>
    <n v="17654"/>
    <n v="1"/>
    <x v="0"/>
    <x v="1"/>
    <n v="14"/>
    <n v="3"/>
    <n v="2"/>
    <n v="80"/>
    <n v="0"/>
    <n v="9"/>
    <n v="3"/>
    <n v="4"/>
    <n v="8"/>
    <n v="7"/>
    <n v="7"/>
    <n v="7"/>
  </r>
  <r>
    <x v="17"/>
    <x v="0"/>
    <x v="0"/>
    <x v="433"/>
    <x v="0"/>
    <n v="3"/>
    <n v="2"/>
    <s v="Life Sciences"/>
    <x v="0"/>
    <n v="720"/>
    <x v="3"/>
    <x v="0"/>
    <n v="65"/>
    <n v="3"/>
    <n v="2"/>
    <s v="Sales Executive"/>
    <x v="2"/>
    <s v="Single"/>
    <x v="506"/>
    <n v="24785"/>
    <n v="9"/>
    <x v="0"/>
    <x v="1"/>
    <n v="14"/>
    <n v="3"/>
    <n v="1"/>
    <n v="80"/>
    <n v="0"/>
    <n v="4"/>
    <n v="3"/>
    <n v="3"/>
    <n v="2"/>
    <n v="2"/>
    <n v="2"/>
    <n v="0"/>
  </r>
  <r>
    <x v="22"/>
    <x v="1"/>
    <x v="0"/>
    <x v="47"/>
    <x v="1"/>
    <n v="2"/>
    <n v="4"/>
    <s v="Technical Degree"/>
    <x v="0"/>
    <n v="721"/>
    <x v="2"/>
    <x v="0"/>
    <n v="80"/>
    <n v="2"/>
    <n v="2"/>
    <s v="Healthcare Representative"/>
    <x v="2"/>
    <s v="Single"/>
    <x v="507"/>
    <n v="20978"/>
    <n v="1"/>
    <x v="0"/>
    <x v="1"/>
    <n v="11"/>
    <n v="3"/>
    <n v="1"/>
    <n v="80"/>
    <n v="0"/>
    <n v="20"/>
    <n v="4"/>
    <n v="3"/>
    <n v="20"/>
    <n v="7"/>
    <n v="11"/>
    <n v="10"/>
  </r>
  <r>
    <x v="5"/>
    <x v="1"/>
    <x v="0"/>
    <x v="434"/>
    <x v="0"/>
    <n v="10"/>
    <n v="3"/>
    <s v="Marketing"/>
    <x v="0"/>
    <n v="722"/>
    <x v="2"/>
    <x v="1"/>
    <n v="55"/>
    <n v="3"/>
    <n v="2"/>
    <s v="Sales Executive"/>
    <x v="0"/>
    <s v="Single"/>
    <x v="508"/>
    <n v="21703"/>
    <n v="1"/>
    <x v="0"/>
    <x v="1"/>
    <n v="12"/>
    <n v="3"/>
    <n v="4"/>
    <n v="80"/>
    <n v="0"/>
    <n v="10"/>
    <n v="2"/>
    <n v="2"/>
    <n v="10"/>
    <n v="7"/>
    <n v="0"/>
    <n v="8"/>
  </r>
  <r>
    <x v="24"/>
    <x v="0"/>
    <x v="1"/>
    <x v="435"/>
    <x v="0"/>
    <n v="8"/>
    <n v="2"/>
    <s v="Technical Degree"/>
    <x v="0"/>
    <n v="723"/>
    <x v="0"/>
    <x v="1"/>
    <n v="50"/>
    <n v="3"/>
    <n v="2"/>
    <s v="Sales Executive"/>
    <x v="2"/>
    <s v="Married"/>
    <x v="509"/>
    <n v="23452"/>
    <n v="3"/>
    <x v="0"/>
    <x v="0"/>
    <n v="14"/>
    <n v="3"/>
    <n v="1"/>
    <n v="80"/>
    <n v="1"/>
    <n v="18"/>
    <n v="4"/>
    <n v="3"/>
    <n v="4"/>
    <n v="3"/>
    <n v="1"/>
    <n v="3"/>
  </r>
  <r>
    <x v="8"/>
    <x v="1"/>
    <x v="0"/>
    <x v="100"/>
    <x v="1"/>
    <n v="1"/>
    <n v="4"/>
    <s v="Life Sciences"/>
    <x v="0"/>
    <n v="724"/>
    <x v="0"/>
    <x v="0"/>
    <n v="33"/>
    <n v="4"/>
    <n v="2"/>
    <s v="Healthcare Representative"/>
    <x v="0"/>
    <s v="Single"/>
    <x v="510"/>
    <n v="19383"/>
    <n v="0"/>
    <x v="0"/>
    <x v="1"/>
    <n v="13"/>
    <n v="3"/>
    <n v="3"/>
    <n v="80"/>
    <n v="0"/>
    <n v="10"/>
    <n v="4"/>
    <n v="2"/>
    <n v="9"/>
    <n v="7"/>
    <n v="1"/>
    <n v="8"/>
  </r>
  <r>
    <x v="4"/>
    <x v="1"/>
    <x v="0"/>
    <x v="436"/>
    <x v="1"/>
    <n v="1"/>
    <n v="2"/>
    <s v="Life Sciences"/>
    <x v="0"/>
    <n v="725"/>
    <x v="1"/>
    <x v="0"/>
    <n v="68"/>
    <n v="3"/>
    <n v="3"/>
    <s v="Manufacturing Director"/>
    <x v="3"/>
    <s v="Married"/>
    <x v="511"/>
    <n v="6009"/>
    <n v="1"/>
    <x v="0"/>
    <x v="1"/>
    <n v="11"/>
    <n v="3"/>
    <n v="4"/>
    <n v="80"/>
    <n v="0"/>
    <n v="9"/>
    <n v="3"/>
    <n v="3"/>
    <n v="9"/>
    <n v="7"/>
    <n v="0"/>
    <n v="7"/>
  </r>
  <r>
    <x v="5"/>
    <x v="1"/>
    <x v="0"/>
    <x v="291"/>
    <x v="1"/>
    <n v="3"/>
    <n v="2"/>
    <s v="Life Sciences"/>
    <x v="0"/>
    <n v="727"/>
    <x v="1"/>
    <x v="0"/>
    <n v="39"/>
    <n v="3"/>
    <n v="3"/>
    <s v="Research Director"/>
    <x v="0"/>
    <s v="Single"/>
    <x v="512"/>
    <n v="19373"/>
    <n v="3"/>
    <x v="0"/>
    <x v="1"/>
    <n v="15"/>
    <n v="3"/>
    <n v="4"/>
    <n v="80"/>
    <n v="0"/>
    <n v="10"/>
    <n v="6"/>
    <n v="3"/>
    <n v="7"/>
    <n v="7"/>
    <n v="7"/>
    <n v="7"/>
  </r>
  <r>
    <x v="40"/>
    <x v="1"/>
    <x v="0"/>
    <x v="396"/>
    <x v="0"/>
    <n v="14"/>
    <n v="4"/>
    <s v="Marketing"/>
    <x v="0"/>
    <n v="728"/>
    <x v="2"/>
    <x v="1"/>
    <n v="42"/>
    <n v="3"/>
    <n v="2"/>
    <s v="Sales Executive"/>
    <x v="3"/>
    <s v="Single"/>
    <x v="513"/>
    <n v="11825"/>
    <n v="2"/>
    <x v="0"/>
    <x v="1"/>
    <n v="12"/>
    <n v="3"/>
    <n v="4"/>
    <n v="80"/>
    <n v="0"/>
    <n v="20"/>
    <n v="2"/>
    <n v="3"/>
    <n v="7"/>
    <n v="7"/>
    <n v="1"/>
    <n v="7"/>
  </r>
  <r>
    <x v="32"/>
    <x v="1"/>
    <x v="1"/>
    <x v="437"/>
    <x v="0"/>
    <n v="5"/>
    <n v="4"/>
    <s v="Life Sciences"/>
    <x v="0"/>
    <n v="729"/>
    <x v="2"/>
    <x v="1"/>
    <n v="48"/>
    <n v="2"/>
    <n v="3"/>
    <s v="Sales Executive"/>
    <x v="3"/>
    <s v="Married"/>
    <x v="514"/>
    <n v="23772"/>
    <n v="5"/>
    <x v="0"/>
    <x v="0"/>
    <n v="21"/>
    <n v="4"/>
    <n v="3"/>
    <n v="80"/>
    <n v="1"/>
    <n v="20"/>
    <n v="2"/>
    <n v="3"/>
    <n v="18"/>
    <n v="13"/>
    <n v="1"/>
    <n v="12"/>
  </r>
  <r>
    <x v="16"/>
    <x v="1"/>
    <x v="0"/>
    <x v="438"/>
    <x v="1"/>
    <n v="7"/>
    <n v="3"/>
    <s v="Life Sciences"/>
    <x v="0"/>
    <n v="730"/>
    <x v="1"/>
    <x v="1"/>
    <n v="59"/>
    <n v="4"/>
    <n v="4"/>
    <s v="Research Director"/>
    <x v="2"/>
    <s v="Married"/>
    <x v="515"/>
    <n v="13514"/>
    <n v="3"/>
    <x v="0"/>
    <x v="1"/>
    <n v="19"/>
    <n v="3"/>
    <n v="3"/>
    <n v="80"/>
    <n v="0"/>
    <n v="32"/>
    <n v="3"/>
    <n v="3"/>
    <n v="5"/>
    <n v="1"/>
    <n v="1"/>
    <n v="3"/>
  </r>
  <r>
    <x v="0"/>
    <x v="1"/>
    <x v="0"/>
    <x v="60"/>
    <x v="2"/>
    <n v="10"/>
    <n v="4"/>
    <s v="Human Resources"/>
    <x v="0"/>
    <n v="731"/>
    <x v="0"/>
    <x v="1"/>
    <n v="73"/>
    <n v="2"/>
    <n v="5"/>
    <s v="Manager"/>
    <x v="0"/>
    <s v="Divorced"/>
    <x v="516"/>
    <n v="8861"/>
    <n v="3"/>
    <x v="0"/>
    <x v="1"/>
    <n v="15"/>
    <n v="3"/>
    <n v="2"/>
    <n v="80"/>
    <n v="3"/>
    <n v="23"/>
    <n v="2"/>
    <n v="2"/>
    <n v="21"/>
    <n v="6"/>
    <n v="12"/>
    <n v="6"/>
  </r>
  <r>
    <x v="42"/>
    <x v="1"/>
    <x v="0"/>
    <x v="439"/>
    <x v="0"/>
    <n v="16"/>
    <n v="4"/>
    <s v="Marketing"/>
    <x v="0"/>
    <n v="732"/>
    <x v="3"/>
    <x v="1"/>
    <n v="84"/>
    <n v="3"/>
    <n v="2"/>
    <s v="Sales Executive"/>
    <x v="3"/>
    <s v="Single"/>
    <x v="517"/>
    <n v="11924"/>
    <n v="8"/>
    <x v="0"/>
    <x v="1"/>
    <n v="14"/>
    <n v="3"/>
    <n v="4"/>
    <n v="80"/>
    <n v="0"/>
    <n v="10"/>
    <n v="1"/>
    <n v="3"/>
    <n v="2"/>
    <n v="2"/>
    <n v="2"/>
    <n v="2"/>
  </r>
  <r>
    <x v="4"/>
    <x v="1"/>
    <x v="1"/>
    <x v="440"/>
    <x v="1"/>
    <n v="10"/>
    <n v="2"/>
    <s v="Life Sciences"/>
    <x v="0"/>
    <n v="733"/>
    <x v="2"/>
    <x v="1"/>
    <n v="32"/>
    <n v="3"/>
    <n v="3"/>
    <s v="Manufacturing Director"/>
    <x v="3"/>
    <s v="Divorced"/>
    <x v="518"/>
    <n v="4809"/>
    <n v="1"/>
    <x v="0"/>
    <x v="1"/>
    <n v="21"/>
    <n v="4"/>
    <n v="3"/>
    <n v="80"/>
    <n v="2"/>
    <n v="9"/>
    <n v="4"/>
    <n v="2"/>
    <n v="9"/>
    <n v="7"/>
    <n v="1"/>
    <n v="7"/>
  </r>
  <r>
    <x v="0"/>
    <x v="1"/>
    <x v="0"/>
    <x v="441"/>
    <x v="2"/>
    <n v="1"/>
    <n v="3"/>
    <s v="Human Resources"/>
    <x v="0"/>
    <n v="734"/>
    <x v="2"/>
    <x v="1"/>
    <n v="59"/>
    <n v="2"/>
    <n v="5"/>
    <s v="Manager"/>
    <x v="2"/>
    <s v="Married"/>
    <x v="519"/>
    <n v="19562"/>
    <n v="1"/>
    <x v="0"/>
    <x v="1"/>
    <n v="12"/>
    <n v="3"/>
    <n v="2"/>
    <n v="80"/>
    <n v="1"/>
    <n v="22"/>
    <n v="3"/>
    <n v="3"/>
    <n v="22"/>
    <n v="7"/>
    <n v="2"/>
    <n v="10"/>
  </r>
  <r>
    <x v="24"/>
    <x v="1"/>
    <x v="0"/>
    <x v="442"/>
    <x v="0"/>
    <n v="8"/>
    <n v="4"/>
    <s v="Marketing"/>
    <x v="0"/>
    <n v="738"/>
    <x v="2"/>
    <x v="1"/>
    <n v="54"/>
    <n v="3"/>
    <n v="1"/>
    <s v="Sales Representative"/>
    <x v="1"/>
    <s v="Married"/>
    <x v="520"/>
    <n v="9983"/>
    <n v="7"/>
    <x v="0"/>
    <x v="1"/>
    <n v="15"/>
    <n v="3"/>
    <n v="4"/>
    <n v="80"/>
    <n v="1"/>
    <n v="4"/>
    <n v="2"/>
    <n v="3"/>
    <n v="2"/>
    <n v="2"/>
    <n v="2"/>
    <n v="2"/>
  </r>
  <r>
    <x v="14"/>
    <x v="0"/>
    <x v="0"/>
    <x v="443"/>
    <x v="1"/>
    <n v="1"/>
    <n v="2"/>
    <s v="Life Sciences"/>
    <x v="0"/>
    <n v="741"/>
    <x v="3"/>
    <x v="0"/>
    <n v="67"/>
    <n v="1"/>
    <n v="1"/>
    <s v="Research Scientist"/>
    <x v="1"/>
    <s v="Single"/>
    <x v="521"/>
    <n v="3872"/>
    <n v="7"/>
    <x v="0"/>
    <x v="0"/>
    <n v="13"/>
    <n v="3"/>
    <n v="4"/>
    <n v="80"/>
    <n v="0"/>
    <n v="10"/>
    <n v="4"/>
    <n v="3"/>
    <n v="7"/>
    <n v="7"/>
    <n v="3"/>
    <n v="7"/>
  </r>
  <r>
    <x v="9"/>
    <x v="1"/>
    <x v="2"/>
    <x v="60"/>
    <x v="1"/>
    <n v="8"/>
    <n v="3"/>
    <s v="Life Sciences"/>
    <x v="0"/>
    <n v="742"/>
    <x v="3"/>
    <x v="0"/>
    <n v="63"/>
    <n v="4"/>
    <n v="3"/>
    <s v="Research Director"/>
    <x v="3"/>
    <s v="Married"/>
    <x v="522"/>
    <n v="20335"/>
    <n v="9"/>
    <x v="0"/>
    <x v="1"/>
    <n v="14"/>
    <n v="3"/>
    <n v="1"/>
    <n v="80"/>
    <n v="1"/>
    <n v="10"/>
    <n v="2"/>
    <n v="3"/>
    <n v="8"/>
    <n v="7"/>
    <n v="0"/>
    <n v="5"/>
  </r>
  <r>
    <x v="8"/>
    <x v="1"/>
    <x v="0"/>
    <x v="444"/>
    <x v="1"/>
    <n v="1"/>
    <n v="3"/>
    <s v="Life Sciences"/>
    <x v="0"/>
    <n v="743"/>
    <x v="1"/>
    <x v="0"/>
    <n v="81"/>
    <n v="3"/>
    <n v="3"/>
    <s v="Manufacturing Director"/>
    <x v="2"/>
    <s v="Single"/>
    <x v="523"/>
    <n v="15397"/>
    <n v="4"/>
    <x v="0"/>
    <x v="0"/>
    <n v="14"/>
    <n v="3"/>
    <n v="4"/>
    <n v="80"/>
    <n v="0"/>
    <n v="10"/>
    <n v="4"/>
    <n v="4"/>
    <n v="1"/>
    <n v="0"/>
    <n v="0"/>
    <n v="0"/>
  </r>
  <r>
    <x v="20"/>
    <x v="1"/>
    <x v="2"/>
    <x v="445"/>
    <x v="1"/>
    <n v="24"/>
    <n v="3"/>
    <s v="Medical"/>
    <x v="0"/>
    <n v="744"/>
    <x v="3"/>
    <x v="1"/>
    <n v="49"/>
    <n v="1"/>
    <n v="1"/>
    <s v="Laboratory Technician"/>
    <x v="2"/>
    <s v="Single"/>
    <x v="524"/>
    <n v="2104"/>
    <n v="2"/>
    <x v="0"/>
    <x v="1"/>
    <n v="14"/>
    <n v="3"/>
    <n v="3"/>
    <n v="80"/>
    <n v="0"/>
    <n v="9"/>
    <n v="5"/>
    <n v="3"/>
    <n v="5"/>
    <n v="2"/>
    <n v="1"/>
    <n v="4"/>
  </r>
  <r>
    <x v="40"/>
    <x v="1"/>
    <x v="1"/>
    <x v="446"/>
    <x v="0"/>
    <n v="3"/>
    <n v="3"/>
    <s v="Medical"/>
    <x v="0"/>
    <n v="746"/>
    <x v="2"/>
    <x v="0"/>
    <n v="49"/>
    <n v="3"/>
    <n v="4"/>
    <s v="Sales Executive"/>
    <x v="2"/>
    <s v="Divorced"/>
    <x v="525"/>
    <n v="10225"/>
    <n v="9"/>
    <x v="0"/>
    <x v="0"/>
    <n v="12"/>
    <n v="3"/>
    <n v="4"/>
    <n v="80"/>
    <n v="2"/>
    <n v="28"/>
    <n v="2"/>
    <n v="2"/>
    <n v="22"/>
    <n v="2"/>
    <n v="11"/>
    <n v="13"/>
  </r>
  <r>
    <x v="7"/>
    <x v="1"/>
    <x v="0"/>
    <x v="447"/>
    <x v="0"/>
    <n v="27"/>
    <n v="5"/>
    <s v="Marketing"/>
    <x v="0"/>
    <n v="747"/>
    <x v="1"/>
    <x v="1"/>
    <n v="99"/>
    <n v="3"/>
    <n v="2"/>
    <s v="Sales Executive"/>
    <x v="0"/>
    <s v="Divorced"/>
    <x v="367"/>
    <n v="25275"/>
    <n v="7"/>
    <x v="0"/>
    <x v="1"/>
    <n v="23"/>
    <n v="4"/>
    <n v="4"/>
    <n v="80"/>
    <n v="1"/>
    <n v="10"/>
    <n v="2"/>
    <n v="2"/>
    <n v="8"/>
    <n v="7"/>
    <n v="7"/>
    <n v="7"/>
  </r>
  <r>
    <x v="11"/>
    <x v="1"/>
    <x v="0"/>
    <x v="203"/>
    <x v="0"/>
    <n v="10"/>
    <n v="3"/>
    <s v="Life Sciences"/>
    <x v="0"/>
    <n v="749"/>
    <x v="1"/>
    <x v="1"/>
    <n v="99"/>
    <n v="3"/>
    <n v="1"/>
    <s v="Sales Representative"/>
    <x v="2"/>
    <s v="Single"/>
    <x v="526"/>
    <n v="2755"/>
    <n v="1"/>
    <x v="0"/>
    <x v="1"/>
    <n v="11"/>
    <n v="3"/>
    <n v="3"/>
    <n v="80"/>
    <n v="0"/>
    <n v="1"/>
    <n v="6"/>
    <n v="3"/>
    <n v="1"/>
    <n v="0"/>
    <n v="0"/>
    <n v="0"/>
  </r>
  <r>
    <x v="19"/>
    <x v="0"/>
    <x v="1"/>
    <x v="143"/>
    <x v="1"/>
    <n v="19"/>
    <n v="3"/>
    <s v="Medical"/>
    <x v="0"/>
    <n v="752"/>
    <x v="1"/>
    <x v="1"/>
    <n v="57"/>
    <n v="4"/>
    <n v="1"/>
    <s v="Research Scientist"/>
    <x v="2"/>
    <s v="Divorced"/>
    <x v="527"/>
    <n v="20366"/>
    <n v="6"/>
    <x v="0"/>
    <x v="0"/>
    <n v="12"/>
    <n v="3"/>
    <n v="4"/>
    <n v="80"/>
    <n v="0"/>
    <n v="7"/>
    <n v="2"/>
    <n v="3"/>
    <n v="2"/>
    <n v="2"/>
    <n v="2"/>
    <n v="2"/>
  </r>
  <r>
    <x v="23"/>
    <x v="1"/>
    <x v="1"/>
    <x v="386"/>
    <x v="0"/>
    <n v="15"/>
    <n v="3"/>
    <s v="Life Sciences"/>
    <x v="0"/>
    <n v="754"/>
    <x v="2"/>
    <x v="1"/>
    <n v="47"/>
    <n v="2"/>
    <n v="2"/>
    <s v="Sales Executive"/>
    <x v="0"/>
    <s v="Married"/>
    <x v="197"/>
    <n v="23683"/>
    <n v="3"/>
    <x v="0"/>
    <x v="1"/>
    <n v="18"/>
    <n v="3"/>
    <n v="3"/>
    <n v="80"/>
    <n v="1"/>
    <n v="7"/>
    <n v="5"/>
    <n v="3"/>
    <n v="2"/>
    <n v="2"/>
    <n v="2"/>
    <n v="2"/>
  </r>
  <r>
    <x v="13"/>
    <x v="1"/>
    <x v="0"/>
    <x v="438"/>
    <x v="1"/>
    <n v="8"/>
    <n v="2"/>
    <s v="Medical"/>
    <x v="0"/>
    <n v="757"/>
    <x v="0"/>
    <x v="0"/>
    <n v="96"/>
    <n v="3"/>
    <n v="2"/>
    <s v="Healthcare Representative"/>
    <x v="2"/>
    <s v="Single"/>
    <x v="528"/>
    <n v="7360"/>
    <n v="3"/>
    <x v="0"/>
    <x v="1"/>
    <n v="11"/>
    <n v="3"/>
    <n v="4"/>
    <n v="80"/>
    <n v="0"/>
    <n v="10"/>
    <n v="2"/>
    <n v="3"/>
    <n v="5"/>
    <n v="1"/>
    <n v="4"/>
    <n v="3"/>
  </r>
  <r>
    <x v="30"/>
    <x v="1"/>
    <x v="0"/>
    <x v="448"/>
    <x v="1"/>
    <n v="9"/>
    <n v="1"/>
    <s v="Medical"/>
    <x v="0"/>
    <n v="758"/>
    <x v="0"/>
    <x v="1"/>
    <n v="37"/>
    <n v="3"/>
    <n v="1"/>
    <s v="Laboratory Technician"/>
    <x v="3"/>
    <s v="Married"/>
    <x v="172"/>
    <n v="4344"/>
    <n v="1"/>
    <x v="0"/>
    <x v="1"/>
    <n v="14"/>
    <n v="3"/>
    <n v="4"/>
    <n v="80"/>
    <n v="1"/>
    <n v="5"/>
    <n v="2"/>
    <n v="4"/>
    <n v="4"/>
    <n v="3"/>
    <n v="0"/>
    <n v="2"/>
  </r>
  <r>
    <x v="22"/>
    <x v="1"/>
    <x v="0"/>
    <x v="449"/>
    <x v="2"/>
    <n v="3"/>
    <n v="3"/>
    <s v="Human Resources"/>
    <x v="0"/>
    <n v="760"/>
    <x v="1"/>
    <x v="0"/>
    <n v="44"/>
    <n v="4"/>
    <n v="2"/>
    <s v="Human Resources"/>
    <x v="1"/>
    <s v="Married"/>
    <x v="529"/>
    <n v="18767"/>
    <n v="9"/>
    <x v="0"/>
    <x v="1"/>
    <n v="15"/>
    <n v="3"/>
    <n v="3"/>
    <n v="80"/>
    <n v="1"/>
    <n v="12"/>
    <n v="3"/>
    <n v="1"/>
    <n v="8"/>
    <n v="3"/>
    <n v="3"/>
    <n v="6"/>
  </r>
  <r>
    <x v="29"/>
    <x v="1"/>
    <x v="0"/>
    <x v="223"/>
    <x v="1"/>
    <n v="9"/>
    <n v="3"/>
    <s v="Medical"/>
    <x v="0"/>
    <n v="762"/>
    <x v="1"/>
    <x v="1"/>
    <n v="81"/>
    <n v="3"/>
    <n v="4"/>
    <s v="Healthcare Representative"/>
    <x v="0"/>
    <s v="Married"/>
    <x v="530"/>
    <n v="20420"/>
    <n v="7"/>
    <x v="0"/>
    <x v="1"/>
    <n v="11"/>
    <n v="3"/>
    <n v="3"/>
    <n v="80"/>
    <n v="0"/>
    <n v="30"/>
    <n v="1"/>
    <n v="2"/>
    <n v="10"/>
    <n v="7"/>
    <n v="1"/>
    <n v="1"/>
  </r>
  <r>
    <x v="32"/>
    <x v="1"/>
    <x v="0"/>
    <x v="450"/>
    <x v="1"/>
    <n v="2"/>
    <n v="1"/>
    <s v="Medical"/>
    <x v="0"/>
    <n v="763"/>
    <x v="2"/>
    <x v="0"/>
    <n v="86"/>
    <n v="2"/>
    <n v="1"/>
    <s v="Research Scientist"/>
    <x v="0"/>
    <s v="Single"/>
    <x v="531"/>
    <n v="22929"/>
    <n v="0"/>
    <x v="0"/>
    <x v="0"/>
    <n v="20"/>
    <n v="4"/>
    <n v="4"/>
    <n v="80"/>
    <n v="0"/>
    <n v="5"/>
    <n v="2"/>
    <n v="2"/>
    <n v="4"/>
    <n v="2"/>
    <n v="2"/>
    <n v="3"/>
  </r>
  <r>
    <x v="4"/>
    <x v="1"/>
    <x v="0"/>
    <x v="451"/>
    <x v="1"/>
    <n v="7"/>
    <n v="3"/>
    <s v="Medical"/>
    <x v="0"/>
    <n v="764"/>
    <x v="2"/>
    <x v="0"/>
    <n v="55"/>
    <n v="2"/>
    <n v="2"/>
    <s v="Healthcare Representative"/>
    <x v="3"/>
    <s v="Single"/>
    <x v="445"/>
    <n v="23398"/>
    <n v="8"/>
    <x v="0"/>
    <x v="1"/>
    <n v="19"/>
    <n v="3"/>
    <n v="1"/>
    <n v="80"/>
    <n v="0"/>
    <n v="9"/>
    <n v="2"/>
    <n v="1"/>
    <n v="7"/>
    <n v="6"/>
    <n v="0"/>
    <n v="7"/>
  </r>
  <r>
    <x v="11"/>
    <x v="1"/>
    <x v="0"/>
    <x v="452"/>
    <x v="0"/>
    <n v="10"/>
    <n v="3"/>
    <s v="Marketing"/>
    <x v="0"/>
    <n v="766"/>
    <x v="2"/>
    <x v="1"/>
    <n v="83"/>
    <n v="3"/>
    <n v="1"/>
    <s v="Sales Representative"/>
    <x v="1"/>
    <s v="Divorced"/>
    <x v="532"/>
    <n v="17967"/>
    <n v="1"/>
    <x v="0"/>
    <x v="1"/>
    <n v="14"/>
    <n v="3"/>
    <n v="4"/>
    <n v="80"/>
    <n v="2"/>
    <n v="2"/>
    <n v="2"/>
    <n v="3"/>
    <n v="2"/>
    <n v="2"/>
    <n v="2"/>
    <n v="2"/>
  </r>
  <r>
    <x v="16"/>
    <x v="1"/>
    <x v="0"/>
    <x v="453"/>
    <x v="1"/>
    <n v="6"/>
    <n v="3"/>
    <s v="Life Sciences"/>
    <x v="0"/>
    <n v="769"/>
    <x v="2"/>
    <x v="1"/>
    <n v="86"/>
    <n v="3"/>
    <n v="2"/>
    <s v="Laboratory Technician"/>
    <x v="0"/>
    <s v="Single"/>
    <x v="533"/>
    <n v="10919"/>
    <n v="2"/>
    <x v="0"/>
    <x v="1"/>
    <n v="17"/>
    <n v="3"/>
    <n v="4"/>
    <n v="80"/>
    <n v="0"/>
    <n v="19"/>
    <n v="4"/>
    <n v="3"/>
    <n v="2"/>
    <n v="2"/>
    <n v="2"/>
    <n v="2"/>
  </r>
  <r>
    <x v="10"/>
    <x v="1"/>
    <x v="2"/>
    <x v="70"/>
    <x v="1"/>
    <n v="2"/>
    <n v="4"/>
    <s v="Life Sciences"/>
    <x v="0"/>
    <n v="771"/>
    <x v="2"/>
    <x v="0"/>
    <n v="61"/>
    <n v="3"/>
    <n v="2"/>
    <s v="Healthcare Representative"/>
    <x v="3"/>
    <s v="Divorced"/>
    <x v="534"/>
    <n v="4761"/>
    <n v="2"/>
    <x v="0"/>
    <x v="1"/>
    <n v="11"/>
    <n v="3"/>
    <n v="1"/>
    <n v="80"/>
    <n v="1"/>
    <n v="16"/>
    <n v="2"/>
    <n v="4"/>
    <n v="1"/>
    <n v="0"/>
    <n v="0"/>
    <n v="0"/>
  </r>
  <r>
    <x v="5"/>
    <x v="1"/>
    <x v="1"/>
    <x v="454"/>
    <x v="1"/>
    <n v="24"/>
    <n v="4"/>
    <s v="Life Sciences"/>
    <x v="0"/>
    <n v="772"/>
    <x v="3"/>
    <x v="1"/>
    <n v="80"/>
    <n v="3"/>
    <n v="2"/>
    <s v="Laboratory Technician"/>
    <x v="0"/>
    <s v="Married"/>
    <x v="535"/>
    <n v="21146"/>
    <n v="1"/>
    <x v="0"/>
    <x v="1"/>
    <n v="15"/>
    <n v="3"/>
    <n v="4"/>
    <n v="80"/>
    <n v="2"/>
    <n v="10"/>
    <n v="2"/>
    <n v="3"/>
    <n v="10"/>
    <n v="8"/>
    <n v="4"/>
    <n v="7"/>
  </r>
  <r>
    <x v="8"/>
    <x v="1"/>
    <x v="0"/>
    <x v="455"/>
    <x v="1"/>
    <n v="2"/>
    <n v="5"/>
    <s v="Medical"/>
    <x v="0"/>
    <n v="773"/>
    <x v="2"/>
    <x v="1"/>
    <n v="92"/>
    <n v="3"/>
    <n v="1"/>
    <s v="Research Scientist"/>
    <x v="2"/>
    <s v="Married"/>
    <x v="536"/>
    <n v="20471"/>
    <n v="6"/>
    <x v="0"/>
    <x v="0"/>
    <n v="13"/>
    <n v="3"/>
    <n v="2"/>
    <n v="80"/>
    <n v="1"/>
    <n v="6"/>
    <n v="0"/>
    <n v="1"/>
    <n v="1"/>
    <n v="0"/>
    <n v="0"/>
    <n v="1"/>
  </r>
  <r>
    <x v="13"/>
    <x v="1"/>
    <x v="0"/>
    <x v="456"/>
    <x v="1"/>
    <n v="8"/>
    <n v="5"/>
    <s v="Life Sciences"/>
    <x v="0"/>
    <n v="775"/>
    <x v="0"/>
    <x v="0"/>
    <n v="32"/>
    <n v="3"/>
    <n v="2"/>
    <s v="Manufacturing Director"/>
    <x v="3"/>
    <s v="Divorced"/>
    <x v="537"/>
    <n v="4187"/>
    <n v="3"/>
    <x v="0"/>
    <x v="1"/>
    <n v="14"/>
    <n v="3"/>
    <n v="3"/>
    <n v="80"/>
    <n v="1"/>
    <n v="7"/>
    <n v="3"/>
    <n v="3"/>
    <n v="0"/>
    <n v="0"/>
    <n v="0"/>
    <n v="0"/>
  </r>
  <r>
    <x v="39"/>
    <x v="1"/>
    <x v="0"/>
    <x v="457"/>
    <x v="0"/>
    <n v="3"/>
    <n v="4"/>
    <s v="Marketing"/>
    <x v="0"/>
    <n v="776"/>
    <x v="1"/>
    <x v="1"/>
    <n v="31"/>
    <n v="2"/>
    <n v="4"/>
    <s v="Manager"/>
    <x v="3"/>
    <s v="Married"/>
    <x v="538"/>
    <n v="10084"/>
    <n v="1"/>
    <x v="0"/>
    <x v="1"/>
    <n v="11"/>
    <n v="3"/>
    <n v="1"/>
    <n v="80"/>
    <n v="0"/>
    <n v="34"/>
    <n v="3"/>
    <n v="4"/>
    <n v="34"/>
    <n v="6"/>
    <n v="1"/>
    <n v="16"/>
  </r>
  <r>
    <x v="3"/>
    <x v="0"/>
    <x v="0"/>
    <x v="458"/>
    <x v="1"/>
    <n v="1"/>
    <n v="4"/>
    <s v="Other"/>
    <x v="0"/>
    <n v="780"/>
    <x v="2"/>
    <x v="1"/>
    <n v="63"/>
    <n v="3"/>
    <n v="1"/>
    <s v="Research Scientist"/>
    <x v="0"/>
    <s v="Single"/>
    <x v="539"/>
    <n v="5207"/>
    <n v="1"/>
    <x v="0"/>
    <x v="0"/>
    <n v="13"/>
    <n v="3"/>
    <n v="3"/>
    <n v="80"/>
    <n v="0"/>
    <n v="10"/>
    <n v="2"/>
    <n v="2"/>
    <n v="10"/>
    <n v="9"/>
    <n v="7"/>
    <n v="8"/>
  </r>
  <r>
    <x v="36"/>
    <x v="1"/>
    <x v="0"/>
    <x v="459"/>
    <x v="0"/>
    <n v="26"/>
    <n v="1"/>
    <s v="Medical"/>
    <x v="0"/>
    <n v="781"/>
    <x v="1"/>
    <x v="0"/>
    <n v="32"/>
    <n v="3"/>
    <n v="2"/>
    <s v="Sales Executive"/>
    <x v="0"/>
    <s v="Single"/>
    <x v="540"/>
    <n v="22807"/>
    <n v="1"/>
    <x v="0"/>
    <x v="1"/>
    <n v="23"/>
    <n v="4"/>
    <n v="2"/>
    <n v="80"/>
    <n v="0"/>
    <n v="6"/>
    <n v="5"/>
    <n v="2"/>
    <n v="6"/>
    <n v="5"/>
    <n v="1"/>
    <n v="4"/>
  </r>
  <r>
    <x v="28"/>
    <x v="1"/>
    <x v="0"/>
    <x v="460"/>
    <x v="0"/>
    <n v="2"/>
    <n v="2"/>
    <s v="Technical Degree"/>
    <x v="0"/>
    <n v="783"/>
    <x v="0"/>
    <x v="1"/>
    <n v="46"/>
    <n v="1"/>
    <n v="2"/>
    <s v="Sales Representative"/>
    <x v="2"/>
    <s v="Single"/>
    <x v="541"/>
    <n v="12388"/>
    <n v="0"/>
    <x v="0"/>
    <x v="1"/>
    <n v="13"/>
    <n v="3"/>
    <n v="1"/>
    <n v="80"/>
    <n v="0"/>
    <n v="9"/>
    <n v="3"/>
    <n v="3"/>
    <n v="8"/>
    <n v="7"/>
    <n v="3"/>
    <n v="1"/>
  </r>
  <r>
    <x v="30"/>
    <x v="1"/>
    <x v="0"/>
    <x v="461"/>
    <x v="1"/>
    <n v="10"/>
    <n v="1"/>
    <s v="Medical"/>
    <x v="0"/>
    <n v="784"/>
    <x v="3"/>
    <x v="1"/>
    <n v="79"/>
    <n v="4"/>
    <n v="1"/>
    <s v="Research Scientist"/>
    <x v="2"/>
    <s v="Single"/>
    <x v="542"/>
    <n v="19630"/>
    <n v="1"/>
    <x v="0"/>
    <x v="1"/>
    <n v="18"/>
    <n v="3"/>
    <n v="4"/>
    <n v="80"/>
    <n v="0"/>
    <n v="2"/>
    <n v="3"/>
    <n v="3"/>
    <n v="2"/>
    <n v="2"/>
    <n v="0"/>
    <n v="2"/>
  </r>
  <r>
    <x v="40"/>
    <x v="0"/>
    <x v="1"/>
    <x v="462"/>
    <x v="0"/>
    <n v="27"/>
    <n v="2"/>
    <s v="Life Sciences"/>
    <x v="0"/>
    <n v="785"/>
    <x v="0"/>
    <x v="0"/>
    <n v="77"/>
    <n v="4"/>
    <n v="2"/>
    <s v="Sales Executive"/>
    <x v="2"/>
    <s v="Single"/>
    <x v="271"/>
    <n v="10339"/>
    <n v="4"/>
    <x v="0"/>
    <x v="0"/>
    <n v="12"/>
    <n v="3"/>
    <n v="4"/>
    <n v="80"/>
    <n v="0"/>
    <n v="8"/>
    <n v="2"/>
    <n v="3"/>
    <n v="5"/>
    <n v="4"/>
    <n v="1"/>
    <n v="3"/>
  </r>
  <r>
    <x v="13"/>
    <x v="1"/>
    <x v="0"/>
    <x v="332"/>
    <x v="0"/>
    <n v="2"/>
    <n v="3"/>
    <s v="Other"/>
    <x v="0"/>
    <n v="786"/>
    <x v="2"/>
    <x v="1"/>
    <n v="60"/>
    <n v="3"/>
    <n v="2"/>
    <s v="Sales Executive"/>
    <x v="0"/>
    <s v="Single"/>
    <x v="543"/>
    <n v="18686"/>
    <n v="1"/>
    <x v="0"/>
    <x v="1"/>
    <n v="22"/>
    <n v="4"/>
    <n v="3"/>
    <n v="80"/>
    <n v="0"/>
    <n v="6"/>
    <n v="5"/>
    <n v="3"/>
    <n v="6"/>
    <n v="5"/>
    <n v="1"/>
    <n v="4"/>
  </r>
  <r>
    <x v="27"/>
    <x v="0"/>
    <x v="0"/>
    <x v="463"/>
    <x v="1"/>
    <n v="2"/>
    <n v="3"/>
    <s v="Medical"/>
    <x v="0"/>
    <n v="787"/>
    <x v="2"/>
    <x v="1"/>
    <n v="78"/>
    <n v="3"/>
    <n v="5"/>
    <s v="Manager"/>
    <x v="3"/>
    <s v="Married"/>
    <x v="544"/>
    <n v="21199"/>
    <n v="5"/>
    <x v="0"/>
    <x v="0"/>
    <n v="13"/>
    <n v="3"/>
    <n v="4"/>
    <n v="80"/>
    <n v="1"/>
    <n v="24"/>
    <n v="2"/>
    <n v="3"/>
    <n v="5"/>
    <n v="2"/>
    <n v="1"/>
    <n v="4"/>
  </r>
  <r>
    <x v="9"/>
    <x v="1"/>
    <x v="2"/>
    <x v="51"/>
    <x v="0"/>
    <n v="8"/>
    <n v="4"/>
    <s v="Life Sciences"/>
    <x v="0"/>
    <n v="789"/>
    <x v="3"/>
    <x v="1"/>
    <n v="76"/>
    <n v="2"/>
    <n v="3"/>
    <s v="Sales Executive"/>
    <x v="3"/>
    <s v="Single"/>
    <x v="545"/>
    <n v="14229"/>
    <n v="1"/>
    <x v="0"/>
    <x v="1"/>
    <n v="15"/>
    <n v="3"/>
    <n v="2"/>
    <n v="80"/>
    <n v="0"/>
    <n v="10"/>
    <n v="1"/>
    <n v="3"/>
    <n v="10"/>
    <n v="7"/>
    <n v="0"/>
    <n v="9"/>
  </r>
  <r>
    <x v="39"/>
    <x v="1"/>
    <x v="2"/>
    <x v="464"/>
    <x v="1"/>
    <n v="19"/>
    <n v="4"/>
    <s v="Medical"/>
    <x v="0"/>
    <n v="791"/>
    <x v="2"/>
    <x v="1"/>
    <n v="41"/>
    <n v="3"/>
    <n v="1"/>
    <s v="Research Scientist"/>
    <x v="0"/>
    <s v="Married"/>
    <x v="546"/>
    <n v="26589"/>
    <n v="0"/>
    <x v="0"/>
    <x v="1"/>
    <n v="18"/>
    <n v="3"/>
    <n v="1"/>
    <n v="80"/>
    <n v="1"/>
    <n v="5"/>
    <n v="3"/>
    <n v="3"/>
    <n v="4"/>
    <n v="3"/>
    <n v="1"/>
    <n v="2"/>
  </r>
  <r>
    <x v="25"/>
    <x v="1"/>
    <x v="1"/>
    <x v="328"/>
    <x v="1"/>
    <n v="1"/>
    <n v="2"/>
    <s v="Life Sciences"/>
    <x v="0"/>
    <n v="792"/>
    <x v="3"/>
    <x v="0"/>
    <n v="71"/>
    <n v="1"/>
    <n v="1"/>
    <s v="Laboratory Technician"/>
    <x v="0"/>
    <s v="Divorced"/>
    <x v="547"/>
    <n v="5288"/>
    <n v="3"/>
    <x v="0"/>
    <x v="1"/>
    <n v="14"/>
    <n v="3"/>
    <n v="1"/>
    <n v="80"/>
    <n v="1"/>
    <n v="5"/>
    <n v="2"/>
    <n v="3"/>
    <n v="2"/>
    <n v="2"/>
    <n v="2"/>
    <n v="0"/>
  </r>
  <r>
    <x v="11"/>
    <x v="1"/>
    <x v="0"/>
    <x v="465"/>
    <x v="1"/>
    <n v="27"/>
    <n v="3"/>
    <s v="Medical"/>
    <x v="0"/>
    <n v="793"/>
    <x v="0"/>
    <x v="0"/>
    <n v="66"/>
    <n v="3"/>
    <n v="2"/>
    <s v="Healthcare Representative"/>
    <x v="2"/>
    <s v="Married"/>
    <x v="548"/>
    <n v="25549"/>
    <n v="4"/>
    <x v="0"/>
    <x v="1"/>
    <n v="12"/>
    <n v="3"/>
    <n v="1"/>
    <n v="80"/>
    <n v="1"/>
    <n v="11"/>
    <n v="3"/>
    <n v="2"/>
    <n v="8"/>
    <n v="7"/>
    <n v="1"/>
    <n v="1"/>
  </r>
  <r>
    <x v="25"/>
    <x v="0"/>
    <x v="0"/>
    <x v="466"/>
    <x v="0"/>
    <n v="8"/>
    <n v="3"/>
    <s v="Technical Degree"/>
    <x v="0"/>
    <n v="796"/>
    <x v="2"/>
    <x v="1"/>
    <n v="38"/>
    <n v="2"/>
    <n v="2"/>
    <s v="Sales Executive"/>
    <x v="3"/>
    <s v="Single"/>
    <x v="549"/>
    <n v="3064"/>
    <n v="6"/>
    <x v="0"/>
    <x v="1"/>
    <n v="17"/>
    <n v="3"/>
    <n v="3"/>
    <n v="80"/>
    <n v="0"/>
    <n v="6"/>
    <n v="2"/>
    <n v="2"/>
    <n v="4"/>
    <n v="3"/>
    <n v="1"/>
    <n v="2"/>
  </r>
  <r>
    <x v="13"/>
    <x v="1"/>
    <x v="0"/>
    <x v="467"/>
    <x v="1"/>
    <n v="1"/>
    <n v="4"/>
    <s v="Life Sciences"/>
    <x v="0"/>
    <n v="797"/>
    <x v="0"/>
    <x v="0"/>
    <n v="72"/>
    <n v="4"/>
    <n v="1"/>
    <s v="Research Scientist"/>
    <x v="0"/>
    <s v="Single"/>
    <x v="550"/>
    <n v="13551"/>
    <n v="2"/>
    <x v="0"/>
    <x v="1"/>
    <n v="16"/>
    <n v="3"/>
    <n v="3"/>
    <n v="80"/>
    <n v="0"/>
    <n v="10"/>
    <n v="2"/>
    <n v="3"/>
    <n v="4"/>
    <n v="2"/>
    <n v="1"/>
    <n v="3"/>
  </r>
  <r>
    <x v="33"/>
    <x v="1"/>
    <x v="0"/>
    <x v="468"/>
    <x v="1"/>
    <n v="19"/>
    <n v="4"/>
    <s v="Medical"/>
    <x v="0"/>
    <n v="799"/>
    <x v="2"/>
    <x v="0"/>
    <n v="95"/>
    <n v="3"/>
    <n v="2"/>
    <s v="Manufacturing Director"/>
    <x v="3"/>
    <s v="Divorced"/>
    <x v="551"/>
    <n v="22670"/>
    <n v="9"/>
    <x v="0"/>
    <x v="0"/>
    <n v="11"/>
    <n v="3"/>
    <n v="2"/>
    <n v="80"/>
    <n v="2"/>
    <n v="9"/>
    <n v="4"/>
    <n v="3"/>
    <n v="5"/>
    <n v="3"/>
    <n v="1"/>
    <n v="4"/>
  </r>
  <r>
    <x v="4"/>
    <x v="1"/>
    <x v="1"/>
    <x v="196"/>
    <x v="0"/>
    <n v="8"/>
    <n v="1"/>
    <s v="Marketing"/>
    <x v="0"/>
    <n v="800"/>
    <x v="1"/>
    <x v="1"/>
    <n v="84"/>
    <n v="3"/>
    <n v="2"/>
    <s v="Sales Executive"/>
    <x v="0"/>
    <s v="Married"/>
    <x v="552"/>
    <n v="24008"/>
    <n v="0"/>
    <x v="0"/>
    <x v="1"/>
    <n v="19"/>
    <n v="3"/>
    <n v="2"/>
    <n v="80"/>
    <n v="1"/>
    <n v="5"/>
    <n v="3"/>
    <n v="3"/>
    <n v="4"/>
    <n v="2"/>
    <n v="1"/>
    <n v="1"/>
  </r>
  <r>
    <x v="2"/>
    <x v="1"/>
    <x v="0"/>
    <x v="469"/>
    <x v="1"/>
    <n v="10"/>
    <n v="1"/>
    <s v="Life Sciences"/>
    <x v="0"/>
    <n v="802"/>
    <x v="2"/>
    <x v="0"/>
    <n v="82"/>
    <n v="3"/>
    <n v="1"/>
    <s v="Research Scientist"/>
    <x v="3"/>
    <s v="Divorced"/>
    <x v="553"/>
    <n v="19905"/>
    <n v="0"/>
    <x v="0"/>
    <x v="0"/>
    <n v="13"/>
    <n v="3"/>
    <n v="2"/>
    <n v="80"/>
    <n v="2"/>
    <n v="6"/>
    <n v="3"/>
    <n v="2"/>
    <n v="5"/>
    <n v="3"/>
    <n v="4"/>
    <n v="3"/>
  </r>
  <r>
    <x v="8"/>
    <x v="1"/>
    <x v="1"/>
    <x v="105"/>
    <x v="1"/>
    <n v="2"/>
    <n v="4"/>
    <s v="Life Sciences"/>
    <x v="0"/>
    <n v="803"/>
    <x v="3"/>
    <x v="0"/>
    <n v="75"/>
    <n v="4"/>
    <n v="2"/>
    <s v="Manufacturing Director"/>
    <x v="3"/>
    <s v="Single"/>
    <x v="554"/>
    <n v="26085"/>
    <n v="6"/>
    <x v="0"/>
    <x v="0"/>
    <n v="12"/>
    <n v="3"/>
    <n v="4"/>
    <n v="80"/>
    <n v="0"/>
    <n v="17"/>
    <n v="2"/>
    <n v="3"/>
    <n v="15"/>
    <n v="7"/>
    <n v="4"/>
    <n v="12"/>
  </r>
  <r>
    <x v="13"/>
    <x v="1"/>
    <x v="0"/>
    <x v="190"/>
    <x v="1"/>
    <n v="2"/>
    <n v="4"/>
    <s v="Medical"/>
    <x v="0"/>
    <n v="804"/>
    <x v="1"/>
    <x v="0"/>
    <n v="86"/>
    <n v="2"/>
    <n v="1"/>
    <s v="Research Scientist"/>
    <x v="3"/>
    <s v="Single"/>
    <x v="555"/>
    <n v="7530"/>
    <n v="1"/>
    <x v="0"/>
    <x v="1"/>
    <n v="11"/>
    <n v="3"/>
    <n v="3"/>
    <n v="80"/>
    <n v="0"/>
    <n v="6"/>
    <n v="3"/>
    <n v="3"/>
    <n v="6"/>
    <n v="5"/>
    <n v="1"/>
    <n v="3"/>
  </r>
  <r>
    <x v="10"/>
    <x v="1"/>
    <x v="0"/>
    <x v="470"/>
    <x v="0"/>
    <n v="8"/>
    <n v="4"/>
    <s v="Life Sciences"/>
    <x v="0"/>
    <n v="805"/>
    <x v="3"/>
    <x v="0"/>
    <n v="72"/>
    <n v="3"/>
    <n v="1"/>
    <s v="Sales Representative"/>
    <x v="0"/>
    <s v="Married"/>
    <x v="556"/>
    <n v="20317"/>
    <n v="1"/>
    <x v="0"/>
    <x v="1"/>
    <n v="16"/>
    <n v="3"/>
    <n v="2"/>
    <n v="80"/>
    <n v="1"/>
    <n v="3"/>
    <n v="1"/>
    <n v="2"/>
    <n v="3"/>
    <n v="2"/>
    <n v="0"/>
    <n v="2"/>
  </r>
  <r>
    <x v="7"/>
    <x v="1"/>
    <x v="0"/>
    <x v="324"/>
    <x v="1"/>
    <n v="1"/>
    <n v="3"/>
    <s v="Life Sciences"/>
    <x v="0"/>
    <n v="806"/>
    <x v="2"/>
    <x v="1"/>
    <n v="38"/>
    <n v="1"/>
    <n v="1"/>
    <s v="Laboratory Technician"/>
    <x v="2"/>
    <s v="Married"/>
    <x v="557"/>
    <n v="24375"/>
    <n v="3"/>
    <x v="0"/>
    <x v="1"/>
    <n v="21"/>
    <n v="4"/>
    <n v="3"/>
    <n v="80"/>
    <n v="2"/>
    <n v="7"/>
    <n v="2"/>
    <n v="3"/>
    <n v="2"/>
    <n v="2"/>
    <n v="0"/>
    <n v="2"/>
  </r>
  <r>
    <x v="32"/>
    <x v="1"/>
    <x v="1"/>
    <x v="471"/>
    <x v="1"/>
    <n v="2"/>
    <n v="2"/>
    <s v="Medical"/>
    <x v="0"/>
    <n v="807"/>
    <x v="1"/>
    <x v="0"/>
    <n v="38"/>
    <n v="4"/>
    <n v="2"/>
    <s v="Healthcare Representative"/>
    <x v="1"/>
    <s v="Married"/>
    <x v="558"/>
    <n v="9931"/>
    <n v="1"/>
    <x v="0"/>
    <x v="1"/>
    <n v="24"/>
    <n v="4"/>
    <n v="4"/>
    <n v="80"/>
    <n v="1"/>
    <n v="8"/>
    <n v="2"/>
    <n v="3"/>
    <n v="8"/>
    <n v="7"/>
    <n v="3"/>
    <n v="7"/>
  </r>
  <r>
    <x v="13"/>
    <x v="1"/>
    <x v="0"/>
    <x v="472"/>
    <x v="0"/>
    <n v="8"/>
    <n v="2"/>
    <s v="Life Sciences"/>
    <x v="0"/>
    <n v="808"/>
    <x v="1"/>
    <x v="0"/>
    <n v="93"/>
    <n v="3"/>
    <n v="2"/>
    <s v="Sales Executive"/>
    <x v="3"/>
    <s v="Married"/>
    <x v="559"/>
    <n v="13305"/>
    <n v="5"/>
    <x v="0"/>
    <x v="1"/>
    <n v="17"/>
    <n v="3"/>
    <n v="2"/>
    <n v="80"/>
    <n v="1"/>
    <n v="6"/>
    <n v="1"/>
    <n v="3"/>
    <n v="3"/>
    <n v="2"/>
    <n v="1"/>
    <n v="2"/>
  </r>
  <r>
    <x v="19"/>
    <x v="1"/>
    <x v="1"/>
    <x v="305"/>
    <x v="1"/>
    <n v="8"/>
    <n v="3"/>
    <s v="Life Sciences"/>
    <x v="0"/>
    <n v="809"/>
    <x v="0"/>
    <x v="1"/>
    <n v="66"/>
    <n v="3"/>
    <n v="5"/>
    <s v="Manager"/>
    <x v="0"/>
    <s v="Divorced"/>
    <x v="560"/>
    <n v="16225"/>
    <n v="1"/>
    <x v="0"/>
    <x v="1"/>
    <n v="13"/>
    <n v="3"/>
    <n v="2"/>
    <n v="80"/>
    <n v="1"/>
    <n v="24"/>
    <n v="4"/>
    <n v="2"/>
    <n v="24"/>
    <n v="7"/>
    <n v="14"/>
    <n v="9"/>
  </r>
  <r>
    <x v="30"/>
    <x v="0"/>
    <x v="0"/>
    <x v="473"/>
    <x v="1"/>
    <n v="6"/>
    <n v="3"/>
    <s v="Life Sciences"/>
    <x v="0"/>
    <n v="811"/>
    <x v="1"/>
    <x v="1"/>
    <n v="63"/>
    <n v="4"/>
    <n v="1"/>
    <s v="Laboratory Technician"/>
    <x v="3"/>
    <s v="Married"/>
    <x v="561"/>
    <n v="3445"/>
    <n v="1"/>
    <x v="0"/>
    <x v="0"/>
    <n v="21"/>
    <n v="4"/>
    <n v="3"/>
    <n v="80"/>
    <n v="2"/>
    <n v="1"/>
    <n v="2"/>
    <n v="3"/>
    <n v="0"/>
    <n v="0"/>
    <n v="0"/>
    <n v="0"/>
  </r>
  <r>
    <x v="17"/>
    <x v="1"/>
    <x v="2"/>
    <x v="474"/>
    <x v="1"/>
    <n v="9"/>
    <n v="3"/>
    <s v="Life Sciences"/>
    <x v="0"/>
    <n v="812"/>
    <x v="1"/>
    <x v="1"/>
    <n v="60"/>
    <n v="2"/>
    <n v="1"/>
    <s v="Laboratory Technician"/>
    <x v="1"/>
    <s v="Divorced"/>
    <x v="562"/>
    <n v="26551"/>
    <n v="1"/>
    <x v="0"/>
    <x v="1"/>
    <n v="11"/>
    <n v="3"/>
    <n v="3"/>
    <n v="80"/>
    <n v="3"/>
    <n v="1"/>
    <n v="4"/>
    <n v="3"/>
    <n v="1"/>
    <n v="0"/>
    <n v="0"/>
    <n v="0"/>
  </r>
  <r>
    <x v="39"/>
    <x v="1"/>
    <x v="0"/>
    <x v="475"/>
    <x v="1"/>
    <n v="11"/>
    <n v="4"/>
    <s v="Life Sciences"/>
    <x v="0"/>
    <n v="813"/>
    <x v="2"/>
    <x v="0"/>
    <n v="82"/>
    <n v="3"/>
    <n v="2"/>
    <s v="Laboratory Technician"/>
    <x v="2"/>
    <s v="Married"/>
    <x v="563"/>
    <n v="21821"/>
    <n v="8"/>
    <x v="0"/>
    <x v="1"/>
    <n v="20"/>
    <n v="4"/>
    <n v="2"/>
    <n v="80"/>
    <n v="1"/>
    <n v="9"/>
    <n v="3"/>
    <n v="3"/>
    <n v="5"/>
    <n v="2"/>
    <n v="1"/>
    <n v="4"/>
  </r>
  <r>
    <x v="24"/>
    <x v="1"/>
    <x v="0"/>
    <x v="27"/>
    <x v="1"/>
    <n v="2"/>
    <n v="3"/>
    <s v="Medical"/>
    <x v="0"/>
    <n v="815"/>
    <x v="1"/>
    <x v="1"/>
    <n v="64"/>
    <n v="3"/>
    <n v="4"/>
    <s v="Research Director"/>
    <x v="2"/>
    <s v="Married"/>
    <x v="564"/>
    <n v="6881"/>
    <n v="5"/>
    <x v="0"/>
    <x v="1"/>
    <n v="16"/>
    <n v="3"/>
    <n v="4"/>
    <n v="80"/>
    <n v="0"/>
    <n v="30"/>
    <n v="3"/>
    <n v="3"/>
    <n v="4"/>
    <n v="3"/>
    <n v="0"/>
    <n v="3"/>
  </r>
  <r>
    <x v="11"/>
    <x v="0"/>
    <x v="0"/>
    <x v="476"/>
    <x v="1"/>
    <n v="1"/>
    <n v="2"/>
    <s v="Life Sciences"/>
    <x v="0"/>
    <n v="816"/>
    <x v="0"/>
    <x v="0"/>
    <n v="36"/>
    <n v="2"/>
    <n v="1"/>
    <s v="Laboratory Technician"/>
    <x v="3"/>
    <s v="Married"/>
    <x v="565"/>
    <n v="6689"/>
    <n v="1"/>
    <x v="0"/>
    <x v="0"/>
    <n v="11"/>
    <n v="3"/>
    <n v="4"/>
    <n v="80"/>
    <n v="1"/>
    <n v="1"/>
    <n v="1"/>
    <n v="3"/>
    <n v="1"/>
    <n v="0"/>
    <n v="0"/>
    <n v="0"/>
  </r>
  <r>
    <x v="3"/>
    <x v="1"/>
    <x v="0"/>
    <x v="477"/>
    <x v="1"/>
    <n v="7"/>
    <n v="3"/>
    <s v="Medical"/>
    <x v="0"/>
    <n v="817"/>
    <x v="1"/>
    <x v="1"/>
    <n v="49"/>
    <n v="3"/>
    <n v="3"/>
    <s v="Research Director"/>
    <x v="2"/>
    <s v="Married"/>
    <x v="566"/>
    <n v="25995"/>
    <n v="0"/>
    <x v="0"/>
    <x v="1"/>
    <n v="11"/>
    <n v="3"/>
    <n v="4"/>
    <n v="80"/>
    <n v="0"/>
    <n v="14"/>
    <n v="3"/>
    <n v="4"/>
    <n v="13"/>
    <n v="9"/>
    <n v="3"/>
    <n v="7"/>
  </r>
  <r>
    <x v="3"/>
    <x v="0"/>
    <x v="0"/>
    <x v="478"/>
    <x v="0"/>
    <n v="16"/>
    <n v="3"/>
    <s v="Marketing"/>
    <x v="0"/>
    <n v="819"/>
    <x v="3"/>
    <x v="0"/>
    <n v="69"/>
    <n v="3"/>
    <n v="2"/>
    <s v="Sales Executive"/>
    <x v="3"/>
    <s v="Single"/>
    <x v="567"/>
    <n v="26507"/>
    <n v="5"/>
    <x v="0"/>
    <x v="1"/>
    <n v="15"/>
    <n v="3"/>
    <n v="3"/>
    <n v="80"/>
    <n v="0"/>
    <n v="6"/>
    <n v="3"/>
    <n v="3"/>
    <n v="3"/>
    <n v="2"/>
    <n v="0"/>
    <n v="2"/>
  </r>
  <r>
    <x v="40"/>
    <x v="1"/>
    <x v="0"/>
    <x v="337"/>
    <x v="1"/>
    <n v="2"/>
    <n v="2"/>
    <s v="Other"/>
    <x v="0"/>
    <n v="820"/>
    <x v="1"/>
    <x v="0"/>
    <n v="33"/>
    <n v="3"/>
    <n v="4"/>
    <s v="Manager"/>
    <x v="0"/>
    <s v="Married"/>
    <x v="568"/>
    <n v="12982"/>
    <n v="1"/>
    <x v="0"/>
    <x v="0"/>
    <n v="11"/>
    <n v="3"/>
    <n v="3"/>
    <n v="80"/>
    <n v="1"/>
    <n v="26"/>
    <n v="3"/>
    <n v="2"/>
    <n v="26"/>
    <n v="14"/>
    <n v="3"/>
    <n v="0"/>
  </r>
  <r>
    <x v="9"/>
    <x v="1"/>
    <x v="0"/>
    <x v="479"/>
    <x v="1"/>
    <n v="1"/>
    <n v="3"/>
    <s v="Other"/>
    <x v="0"/>
    <n v="823"/>
    <x v="1"/>
    <x v="0"/>
    <n v="35"/>
    <n v="3"/>
    <n v="2"/>
    <s v="Manufacturing Director"/>
    <x v="1"/>
    <s v="Married"/>
    <x v="311"/>
    <n v="23361"/>
    <n v="0"/>
    <x v="0"/>
    <x v="1"/>
    <n v="15"/>
    <n v="3"/>
    <n v="1"/>
    <n v="80"/>
    <n v="1"/>
    <n v="10"/>
    <n v="2"/>
    <n v="3"/>
    <n v="9"/>
    <n v="7"/>
    <n v="0"/>
    <n v="5"/>
  </r>
  <r>
    <x v="11"/>
    <x v="1"/>
    <x v="0"/>
    <x v="480"/>
    <x v="1"/>
    <n v="23"/>
    <n v="2"/>
    <s v="Life Sciences"/>
    <x v="0"/>
    <n v="824"/>
    <x v="1"/>
    <x v="1"/>
    <n v="81"/>
    <n v="4"/>
    <n v="1"/>
    <s v="Research Scientist"/>
    <x v="2"/>
    <s v="Married"/>
    <x v="569"/>
    <n v="23779"/>
    <n v="1"/>
    <x v="0"/>
    <x v="1"/>
    <n v="24"/>
    <n v="4"/>
    <n v="3"/>
    <n v="80"/>
    <n v="1"/>
    <n v="10"/>
    <n v="3"/>
    <n v="3"/>
    <n v="10"/>
    <n v="7"/>
    <n v="0"/>
    <n v="7"/>
  </r>
  <r>
    <x v="34"/>
    <x v="0"/>
    <x v="0"/>
    <x v="481"/>
    <x v="1"/>
    <n v="2"/>
    <n v="4"/>
    <s v="Life Sciences"/>
    <x v="0"/>
    <n v="825"/>
    <x v="2"/>
    <x v="1"/>
    <n v="31"/>
    <n v="3"/>
    <n v="5"/>
    <s v="Research Director"/>
    <x v="1"/>
    <s v="Single"/>
    <x v="570"/>
    <n v="25761"/>
    <n v="7"/>
    <x v="0"/>
    <x v="0"/>
    <n v="12"/>
    <n v="3"/>
    <n v="4"/>
    <n v="80"/>
    <n v="0"/>
    <n v="40"/>
    <n v="2"/>
    <n v="3"/>
    <n v="31"/>
    <n v="15"/>
    <n v="13"/>
    <n v="8"/>
  </r>
  <r>
    <x v="10"/>
    <x v="1"/>
    <x v="0"/>
    <x v="482"/>
    <x v="1"/>
    <n v="1"/>
    <n v="4"/>
    <s v="Life Sciences"/>
    <x v="0"/>
    <n v="826"/>
    <x v="2"/>
    <x v="0"/>
    <n v="40"/>
    <n v="4"/>
    <n v="1"/>
    <s v="Research Scientist"/>
    <x v="2"/>
    <s v="Single"/>
    <x v="571"/>
    <n v="13301"/>
    <n v="3"/>
    <x v="0"/>
    <x v="1"/>
    <n v="13"/>
    <n v="3"/>
    <n v="3"/>
    <n v="80"/>
    <n v="0"/>
    <n v="7"/>
    <n v="0"/>
    <n v="3"/>
    <n v="2"/>
    <n v="2"/>
    <n v="2"/>
    <n v="2"/>
  </r>
  <r>
    <x v="19"/>
    <x v="1"/>
    <x v="0"/>
    <x v="483"/>
    <x v="1"/>
    <n v="1"/>
    <n v="2"/>
    <s v="Life Sciences"/>
    <x v="0"/>
    <n v="827"/>
    <x v="2"/>
    <x v="0"/>
    <n v="43"/>
    <n v="2"/>
    <n v="2"/>
    <s v="Manufacturing Director"/>
    <x v="0"/>
    <s v="Married"/>
    <x v="572"/>
    <n v="4051"/>
    <n v="9"/>
    <x v="0"/>
    <x v="0"/>
    <n v="13"/>
    <n v="3"/>
    <n v="4"/>
    <n v="80"/>
    <n v="1"/>
    <n v="8"/>
    <n v="4"/>
    <n v="3"/>
    <n v="4"/>
    <n v="3"/>
    <n v="0"/>
    <n v="2"/>
  </r>
  <r>
    <x v="14"/>
    <x v="0"/>
    <x v="0"/>
    <x v="37"/>
    <x v="1"/>
    <n v="2"/>
    <n v="4"/>
    <s v="Medical"/>
    <x v="0"/>
    <n v="828"/>
    <x v="1"/>
    <x v="1"/>
    <n v="46"/>
    <n v="3"/>
    <n v="1"/>
    <s v="Research Scientist"/>
    <x v="2"/>
    <s v="Single"/>
    <x v="573"/>
    <n v="16374"/>
    <n v="6"/>
    <x v="0"/>
    <x v="1"/>
    <n v="17"/>
    <n v="3"/>
    <n v="4"/>
    <n v="80"/>
    <n v="0"/>
    <n v="5"/>
    <n v="3"/>
    <n v="2"/>
    <n v="2"/>
    <n v="2"/>
    <n v="2"/>
    <n v="1"/>
  </r>
  <r>
    <x v="9"/>
    <x v="1"/>
    <x v="0"/>
    <x v="484"/>
    <x v="2"/>
    <n v="13"/>
    <n v="3"/>
    <s v="Human Resources"/>
    <x v="0"/>
    <n v="829"/>
    <x v="1"/>
    <x v="1"/>
    <n v="36"/>
    <n v="3"/>
    <n v="1"/>
    <s v="Human Resources"/>
    <x v="1"/>
    <s v="Married"/>
    <x v="574"/>
    <n v="25527"/>
    <n v="4"/>
    <x v="0"/>
    <x v="1"/>
    <n v="13"/>
    <n v="3"/>
    <n v="2"/>
    <n v="80"/>
    <n v="1"/>
    <n v="8"/>
    <n v="2"/>
    <n v="3"/>
    <n v="5"/>
    <n v="2"/>
    <n v="0"/>
    <n v="4"/>
  </r>
  <r>
    <x v="5"/>
    <x v="1"/>
    <x v="0"/>
    <x v="485"/>
    <x v="1"/>
    <n v="4"/>
    <n v="3"/>
    <s v="Life Sciences"/>
    <x v="0"/>
    <n v="830"/>
    <x v="1"/>
    <x v="0"/>
    <n v="98"/>
    <n v="2"/>
    <n v="2"/>
    <s v="Manufacturing Director"/>
    <x v="2"/>
    <s v="Married"/>
    <x v="57"/>
    <n v="19124"/>
    <n v="1"/>
    <x v="0"/>
    <x v="1"/>
    <n v="12"/>
    <n v="3"/>
    <n v="3"/>
    <n v="80"/>
    <n v="1"/>
    <n v="14"/>
    <n v="3"/>
    <n v="3"/>
    <n v="14"/>
    <n v="13"/>
    <n v="6"/>
    <n v="8"/>
  </r>
  <r>
    <x v="32"/>
    <x v="1"/>
    <x v="1"/>
    <x v="486"/>
    <x v="1"/>
    <n v="16"/>
    <n v="4"/>
    <s v="Medical"/>
    <x v="0"/>
    <n v="832"/>
    <x v="3"/>
    <x v="1"/>
    <n v="51"/>
    <n v="2"/>
    <n v="2"/>
    <s v="Laboratory Technician"/>
    <x v="2"/>
    <s v="Single"/>
    <x v="575"/>
    <n v="11983"/>
    <n v="6"/>
    <x v="0"/>
    <x v="1"/>
    <n v="14"/>
    <n v="3"/>
    <n v="4"/>
    <n v="80"/>
    <n v="0"/>
    <n v="10"/>
    <n v="6"/>
    <n v="3"/>
    <n v="1"/>
    <n v="0"/>
    <n v="0"/>
    <n v="0"/>
  </r>
  <r>
    <x v="7"/>
    <x v="1"/>
    <x v="0"/>
    <x v="487"/>
    <x v="1"/>
    <n v="2"/>
    <n v="3"/>
    <s v="Medical"/>
    <x v="0"/>
    <n v="833"/>
    <x v="1"/>
    <x v="0"/>
    <n v="52"/>
    <n v="2"/>
    <n v="2"/>
    <s v="Manufacturing Director"/>
    <x v="0"/>
    <s v="Single"/>
    <x v="576"/>
    <n v="20234"/>
    <n v="5"/>
    <x v="0"/>
    <x v="0"/>
    <n v="24"/>
    <n v="4"/>
    <n v="2"/>
    <n v="80"/>
    <n v="0"/>
    <n v="12"/>
    <n v="4"/>
    <n v="2"/>
    <n v="0"/>
    <n v="0"/>
    <n v="0"/>
    <n v="0"/>
  </r>
  <r>
    <x v="28"/>
    <x v="1"/>
    <x v="0"/>
    <x v="221"/>
    <x v="1"/>
    <n v="2"/>
    <n v="3"/>
    <s v="Life Sciences"/>
    <x v="0"/>
    <n v="834"/>
    <x v="0"/>
    <x v="0"/>
    <n v="95"/>
    <n v="2"/>
    <n v="1"/>
    <s v="Research Scientist"/>
    <x v="2"/>
    <s v="Single"/>
    <x v="577"/>
    <n v="6153"/>
    <n v="1"/>
    <x v="0"/>
    <x v="1"/>
    <n v="14"/>
    <n v="3"/>
    <n v="4"/>
    <n v="80"/>
    <n v="0"/>
    <n v="1"/>
    <n v="3"/>
    <n v="3"/>
    <n v="1"/>
    <n v="0"/>
    <n v="0"/>
    <n v="0"/>
  </r>
  <r>
    <x v="19"/>
    <x v="1"/>
    <x v="0"/>
    <x v="143"/>
    <x v="1"/>
    <n v="29"/>
    <n v="3"/>
    <s v="Life Sciences"/>
    <x v="0"/>
    <n v="836"/>
    <x v="0"/>
    <x v="1"/>
    <n v="98"/>
    <n v="3"/>
    <n v="2"/>
    <s v="Manufacturing Director"/>
    <x v="1"/>
    <s v="Married"/>
    <x v="578"/>
    <n v="11806"/>
    <n v="1"/>
    <x v="0"/>
    <x v="1"/>
    <n v="13"/>
    <n v="3"/>
    <n v="4"/>
    <n v="80"/>
    <n v="1"/>
    <n v="10"/>
    <n v="3"/>
    <n v="2"/>
    <n v="9"/>
    <n v="8"/>
    <n v="7"/>
    <n v="8"/>
  </r>
  <r>
    <x v="8"/>
    <x v="1"/>
    <x v="1"/>
    <x v="389"/>
    <x v="1"/>
    <n v="12"/>
    <n v="3"/>
    <s v="Life Sciences"/>
    <x v="0"/>
    <n v="837"/>
    <x v="3"/>
    <x v="1"/>
    <n v="45"/>
    <n v="2"/>
    <n v="2"/>
    <s v="Healthcare Representative"/>
    <x v="3"/>
    <s v="Divorced"/>
    <x v="579"/>
    <n v="4284"/>
    <n v="2"/>
    <x v="0"/>
    <x v="1"/>
    <n v="15"/>
    <n v="3"/>
    <n v="3"/>
    <n v="80"/>
    <n v="1"/>
    <n v="13"/>
    <n v="3"/>
    <n v="2"/>
    <n v="4"/>
    <n v="3"/>
    <n v="1"/>
    <n v="2"/>
  </r>
  <r>
    <x v="13"/>
    <x v="1"/>
    <x v="1"/>
    <x v="160"/>
    <x v="1"/>
    <n v="16"/>
    <n v="4"/>
    <s v="Life Sciences"/>
    <x v="0"/>
    <n v="838"/>
    <x v="1"/>
    <x v="0"/>
    <n v="100"/>
    <n v="2"/>
    <n v="1"/>
    <s v="Research Scientist"/>
    <x v="0"/>
    <s v="Single"/>
    <x v="580"/>
    <n v="8306"/>
    <n v="1"/>
    <x v="0"/>
    <x v="1"/>
    <n v="16"/>
    <n v="3"/>
    <n v="3"/>
    <n v="80"/>
    <n v="0"/>
    <n v="6"/>
    <n v="3"/>
    <n v="3"/>
    <n v="5"/>
    <n v="2"/>
    <n v="1"/>
    <n v="3"/>
  </r>
  <r>
    <x v="1"/>
    <x v="0"/>
    <x v="0"/>
    <x v="488"/>
    <x v="0"/>
    <n v="11"/>
    <n v="3"/>
    <s v="Marketing"/>
    <x v="0"/>
    <n v="840"/>
    <x v="1"/>
    <x v="0"/>
    <n v="43"/>
    <n v="3"/>
    <n v="3"/>
    <s v="Sales Executive"/>
    <x v="0"/>
    <s v="Married"/>
    <x v="581"/>
    <n v="5860"/>
    <n v="1"/>
    <x v="0"/>
    <x v="1"/>
    <n v="18"/>
    <n v="3"/>
    <n v="1"/>
    <n v="80"/>
    <n v="2"/>
    <n v="9"/>
    <n v="3"/>
    <n v="4"/>
    <n v="9"/>
    <n v="8"/>
    <n v="7"/>
    <n v="7"/>
  </r>
  <r>
    <x v="27"/>
    <x v="0"/>
    <x v="0"/>
    <x v="489"/>
    <x v="0"/>
    <n v="2"/>
    <n v="1"/>
    <s v="Medical"/>
    <x v="0"/>
    <n v="842"/>
    <x v="1"/>
    <x v="1"/>
    <n v="37"/>
    <n v="3"/>
    <n v="2"/>
    <s v="Sales Executive"/>
    <x v="0"/>
    <s v="Single"/>
    <x v="582"/>
    <n v="21519"/>
    <n v="4"/>
    <x v="0"/>
    <x v="1"/>
    <n v="16"/>
    <n v="3"/>
    <n v="3"/>
    <n v="80"/>
    <n v="0"/>
    <n v="12"/>
    <n v="3"/>
    <n v="2"/>
    <n v="9"/>
    <n v="7"/>
    <n v="7"/>
    <n v="3"/>
  </r>
  <r>
    <x v="23"/>
    <x v="1"/>
    <x v="0"/>
    <x v="490"/>
    <x v="1"/>
    <n v="14"/>
    <n v="2"/>
    <s v="Life Sciences"/>
    <x v="0"/>
    <n v="843"/>
    <x v="0"/>
    <x v="1"/>
    <n v="94"/>
    <n v="3"/>
    <n v="4"/>
    <s v="Research Director"/>
    <x v="3"/>
    <s v="Married"/>
    <x v="583"/>
    <n v="5200"/>
    <n v="6"/>
    <x v="0"/>
    <x v="1"/>
    <n v="24"/>
    <n v="4"/>
    <n v="3"/>
    <n v="80"/>
    <n v="1"/>
    <n v="22"/>
    <n v="3"/>
    <n v="3"/>
    <n v="4"/>
    <n v="1"/>
    <n v="1"/>
    <n v="0"/>
  </r>
  <r>
    <x v="4"/>
    <x v="1"/>
    <x v="0"/>
    <x v="231"/>
    <x v="1"/>
    <n v="5"/>
    <n v="1"/>
    <s v="Technical Degree"/>
    <x v="0"/>
    <n v="844"/>
    <x v="1"/>
    <x v="1"/>
    <n v="42"/>
    <n v="2"/>
    <n v="3"/>
    <s v="Research Director"/>
    <x v="0"/>
    <s v="Divorced"/>
    <x v="584"/>
    <n v="8842"/>
    <n v="1"/>
    <x v="0"/>
    <x v="0"/>
    <n v="16"/>
    <n v="3"/>
    <n v="2"/>
    <n v="80"/>
    <n v="1"/>
    <n v="9"/>
    <n v="3"/>
    <n v="3"/>
    <n v="9"/>
    <n v="8"/>
    <n v="0"/>
    <n v="8"/>
  </r>
  <r>
    <x v="10"/>
    <x v="1"/>
    <x v="0"/>
    <x v="265"/>
    <x v="1"/>
    <n v="7"/>
    <n v="3"/>
    <s v="Other"/>
    <x v="0"/>
    <n v="845"/>
    <x v="1"/>
    <x v="1"/>
    <n v="59"/>
    <n v="3"/>
    <n v="3"/>
    <s v="Manufacturing Director"/>
    <x v="2"/>
    <s v="Single"/>
    <x v="585"/>
    <n v="18869"/>
    <n v="3"/>
    <x v="0"/>
    <x v="1"/>
    <n v="21"/>
    <n v="4"/>
    <n v="2"/>
    <n v="80"/>
    <n v="0"/>
    <n v="17"/>
    <n v="3"/>
    <n v="4"/>
    <n v="8"/>
    <n v="5"/>
    <n v="1"/>
    <n v="6"/>
  </r>
  <r>
    <x v="14"/>
    <x v="1"/>
    <x v="0"/>
    <x v="491"/>
    <x v="0"/>
    <n v="2"/>
    <n v="4"/>
    <s v="Marketing"/>
    <x v="0"/>
    <n v="846"/>
    <x v="0"/>
    <x v="0"/>
    <n v="81"/>
    <n v="3"/>
    <n v="2"/>
    <s v="Sales Executive"/>
    <x v="1"/>
    <s v="Married"/>
    <x v="586"/>
    <n v="3698"/>
    <n v="1"/>
    <x v="0"/>
    <x v="0"/>
    <n v="20"/>
    <n v="4"/>
    <n v="1"/>
    <n v="80"/>
    <n v="0"/>
    <n v="8"/>
    <n v="2"/>
    <n v="3"/>
    <n v="8"/>
    <n v="7"/>
    <n v="7"/>
    <n v="5"/>
  </r>
  <r>
    <x v="13"/>
    <x v="1"/>
    <x v="0"/>
    <x v="196"/>
    <x v="2"/>
    <n v="3"/>
    <n v="2"/>
    <s v="Human Resources"/>
    <x v="0"/>
    <n v="847"/>
    <x v="1"/>
    <x v="1"/>
    <n v="88"/>
    <n v="3"/>
    <n v="1"/>
    <s v="Human Resources"/>
    <x v="0"/>
    <s v="Married"/>
    <x v="587"/>
    <n v="2243"/>
    <n v="0"/>
    <x v="0"/>
    <x v="1"/>
    <n v="19"/>
    <n v="3"/>
    <n v="3"/>
    <n v="80"/>
    <n v="1"/>
    <n v="4"/>
    <n v="1"/>
    <n v="1"/>
    <n v="3"/>
    <n v="2"/>
    <n v="0"/>
    <n v="2"/>
  </r>
  <r>
    <x v="25"/>
    <x v="0"/>
    <x v="1"/>
    <x v="492"/>
    <x v="1"/>
    <n v="5"/>
    <n v="2"/>
    <s v="Medical"/>
    <x v="0"/>
    <n v="848"/>
    <x v="1"/>
    <x v="0"/>
    <n v="88"/>
    <n v="2"/>
    <n v="1"/>
    <s v="Research Scientist"/>
    <x v="2"/>
    <s v="Married"/>
    <x v="588"/>
    <n v="20898"/>
    <n v="1"/>
    <x v="0"/>
    <x v="0"/>
    <n v="14"/>
    <n v="3"/>
    <n v="1"/>
    <n v="80"/>
    <n v="1"/>
    <n v="8"/>
    <n v="2"/>
    <n v="3"/>
    <n v="8"/>
    <n v="7"/>
    <n v="1"/>
    <n v="7"/>
  </r>
  <r>
    <x v="4"/>
    <x v="1"/>
    <x v="2"/>
    <x v="378"/>
    <x v="1"/>
    <n v="3"/>
    <n v="3"/>
    <s v="Medical"/>
    <x v="0"/>
    <n v="850"/>
    <x v="2"/>
    <x v="1"/>
    <n v="50"/>
    <n v="3"/>
    <n v="1"/>
    <s v="Research Scientist"/>
    <x v="0"/>
    <s v="Married"/>
    <x v="589"/>
    <n v="16571"/>
    <n v="1"/>
    <x v="0"/>
    <x v="1"/>
    <n v="11"/>
    <n v="3"/>
    <n v="3"/>
    <n v="80"/>
    <n v="3"/>
    <n v="0"/>
    <n v="6"/>
    <n v="2"/>
    <n v="0"/>
    <n v="0"/>
    <n v="0"/>
    <n v="0"/>
  </r>
  <r>
    <x v="31"/>
    <x v="1"/>
    <x v="0"/>
    <x v="493"/>
    <x v="0"/>
    <n v="26"/>
    <n v="4"/>
    <s v="Marketing"/>
    <x v="0"/>
    <n v="851"/>
    <x v="3"/>
    <x v="0"/>
    <n v="66"/>
    <n v="3"/>
    <n v="4"/>
    <s v="Manager"/>
    <x v="2"/>
    <s v="Married"/>
    <x v="590"/>
    <n v="5594"/>
    <n v="2"/>
    <x v="0"/>
    <x v="1"/>
    <n v="14"/>
    <n v="3"/>
    <n v="3"/>
    <n v="80"/>
    <n v="1"/>
    <n v="29"/>
    <n v="2"/>
    <n v="2"/>
    <n v="20"/>
    <n v="6"/>
    <n v="4"/>
    <n v="17"/>
  </r>
  <r>
    <x v="20"/>
    <x v="1"/>
    <x v="0"/>
    <x v="494"/>
    <x v="1"/>
    <n v="4"/>
    <n v="3"/>
    <s v="Medical"/>
    <x v="0"/>
    <n v="852"/>
    <x v="2"/>
    <x v="1"/>
    <n v="50"/>
    <n v="3"/>
    <n v="2"/>
    <s v="Healthcare Representative"/>
    <x v="1"/>
    <s v="Single"/>
    <x v="591"/>
    <n v="5197"/>
    <n v="9"/>
    <x v="0"/>
    <x v="1"/>
    <n v="12"/>
    <n v="3"/>
    <n v="4"/>
    <n v="80"/>
    <n v="0"/>
    <n v="10"/>
    <n v="2"/>
    <n v="2"/>
    <n v="5"/>
    <n v="2"/>
    <n v="2"/>
    <n v="3"/>
  </r>
  <r>
    <x v="36"/>
    <x v="1"/>
    <x v="0"/>
    <x v="495"/>
    <x v="1"/>
    <n v="2"/>
    <n v="1"/>
    <s v="Medical"/>
    <x v="0"/>
    <n v="854"/>
    <x v="3"/>
    <x v="1"/>
    <n v="65"/>
    <n v="4"/>
    <n v="1"/>
    <s v="Research Scientist"/>
    <x v="3"/>
    <s v="Single"/>
    <x v="592"/>
    <n v="21632"/>
    <n v="7"/>
    <x v="0"/>
    <x v="1"/>
    <n v="13"/>
    <n v="3"/>
    <n v="3"/>
    <n v="80"/>
    <n v="0"/>
    <n v="6"/>
    <n v="3"/>
    <n v="2"/>
    <n v="4"/>
    <n v="3"/>
    <n v="0"/>
    <n v="1"/>
  </r>
  <r>
    <x v="3"/>
    <x v="1"/>
    <x v="0"/>
    <x v="496"/>
    <x v="0"/>
    <n v="1"/>
    <n v="3"/>
    <s v="Medical"/>
    <x v="0"/>
    <n v="855"/>
    <x v="3"/>
    <x v="1"/>
    <n v="48"/>
    <n v="4"/>
    <n v="2"/>
    <s v="Sales Executive"/>
    <x v="3"/>
    <s v="Divorced"/>
    <x v="593"/>
    <n v="21816"/>
    <n v="1"/>
    <x v="0"/>
    <x v="1"/>
    <n v="22"/>
    <n v="4"/>
    <n v="1"/>
    <n v="80"/>
    <n v="1"/>
    <n v="9"/>
    <n v="5"/>
    <n v="3"/>
    <n v="9"/>
    <n v="8"/>
    <n v="0"/>
    <n v="8"/>
  </r>
  <r>
    <x v="10"/>
    <x v="1"/>
    <x v="0"/>
    <x v="412"/>
    <x v="1"/>
    <n v="27"/>
    <n v="1"/>
    <s v="Medical"/>
    <x v="0"/>
    <n v="856"/>
    <x v="1"/>
    <x v="0"/>
    <n v="53"/>
    <n v="2"/>
    <n v="1"/>
    <s v="Research Scientist"/>
    <x v="3"/>
    <s v="Single"/>
    <x v="594"/>
    <n v="17852"/>
    <n v="1"/>
    <x v="0"/>
    <x v="1"/>
    <n v="11"/>
    <n v="3"/>
    <n v="4"/>
    <n v="80"/>
    <n v="0"/>
    <n v="6"/>
    <n v="3"/>
    <n v="2"/>
    <n v="6"/>
    <n v="5"/>
    <n v="1"/>
    <n v="1"/>
  </r>
  <r>
    <x v="9"/>
    <x v="1"/>
    <x v="0"/>
    <x v="300"/>
    <x v="0"/>
    <n v="1"/>
    <n v="2"/>
    <s v="Life Sciences"/>
    <x v="0"/>
    <n v="857"/>
    <x v="0"/>
    <x v="1"/>
    <n v="56"/>
    <n v="3"/>
    <n v="2"/>
    <s v="Sales Executive"/>
    <x v="0"/>
    <s v="Married"/>
    <x v="595"/>
    <n v="2823"/>
    <n v="1"/>
    <x v="0"/>
    <x v="0"/>
    <n v="14"/>
    <n v="3"/>
    <n v="4"/>
    <n v="80"/>
    <n v="1"/>
    <n v="18"/>
    <n v="1"/>
    <n v="2"/>
    <n v="18"/>
    <n v="14"/>
    <n v="4"/>
    <n v="11"/>
  </r>
  <r>
    <x v="5"/>
    <x v="1"/>
    <x v="0"/>
    <x v="284"/>
    <x v="0"/>
    <n v="13"/>
    <n v="4"/>
    <s v="Life Sciences"/>
    <x v="0"/>
    <n v="859"/>
    <x v="0"/>
    <x v="1"/>
    <n v="73"/>
    <n v="3"/>
    <n v="2"/>
    <s v="Sales Executive"/>
    <x v="0"/>
    <s v="Divorced"/>
    <x v="596"/>
    <n v="9250"/>
    <n v="2"/>
    <x v="0"/>
    <x v="1"/>
    <n v="11"/>
    <n v="3"/>
    <n v="3"/>
    <n v="80"/>
    <n v="1"/>
    <n v="8"/>
    <n v="3"/>
    <n v="2"/>
    <n v="5"/>
    <n v="2"/>
    <n v="0"/>
    <n v="3"/>
  </r>
  <r>
    <x v="7"/>
    <x v="1"/>
    <x v="1"/>
    <x v="497"/>
    <x v="1"/>
    <n v="5"/>
    <n v="4"/>
    <s v="Life Sciences"/>
    <x v="0"/>
    <n v="861"/>
    <x v="0"/>
    <x v="1"/>
    <n v="75"/>
    <n v="2"/>
    <n v="1"/>
    <s v="Research Scientist"/>
    <x v="0"/>
    <s v="Divorced"/>
    <x v="597"/>
    <n v="2373"/>
    <n v="9"/>
    <x v="0"/>
    <x v="1"/>
    <n v="12"/>
    <n v="3"/>
    <n v="2"/>
    <n v="80"/>
    <n v="1"/>
    <n v="10"/>
    <n v="3"/>
    <n v="2"/>
    <n v="5"/>
    <n v="4"/>
    <n v="0"/>
    <n v="3"/>
  </r>
  <r>
    <x v="16"/>
    <x v="1"/>
    <x v="0"/>
    <x v="498"/>
    <x v="0"/>
    <n v="7"/>
    <n v="2"/>
    <s v="Marketing"/>
    <x v="0"/>
    <n v="862"/>
    <x v="3"/>
    <x v="0"/>
    <n v="78"/>
    <n v="2"/>
    <n v="3"/>
    <s v="Sales Executive"/>
    <x v="0"/>
    <s v="Married"/>
    <x v="598"/>
    <n v="20715"/>
    <n v="7"/>
    <x v="0"/>
    <x v="0"/>
    <n v="18"/>
    <n v="3"/>
    <n v="4"/>
    <n v="80"/>
    <n v="1"/>
    <n v="35"/>
    <n v="3"/>
    <n v="3"/>
    <n v="5"/>
    <n v="2"/>
    <n v="0"/>
    <n v="4"/>
  </r>
  <r>
    <x v="28"/>
    <x v="1"/>
    <x v="0"/>
    <x v="499"/>
    <x v="0"/>
    <n v="9"/>
    <n v="3"/>
    <s v="Marketing"/>
    <x v="0"/>
    <n v="864"/>
    <x v="2"/>
    <x v="1"/>
    <n v="74"/>
    <n v="3"/>
    <n v="3"/>
    <s v="Sales Executive"/>
    <x v="3"/>
    <s v="Divorced"/>
    <x v="599"/>
    <n v="19239"/>
    <n v="4"/>
    <x v="0"/>
    <x v="0"/>
    <n v="12"/>
    <n v="3"/>
    <n v="3"/>
    <n v="80"/>
    <n v="1"/>
    <n v="18"/>
    <n v="2"/>
    <n v="3"/>
    <n v="5"/>
    <n v="4"/>
    <n v="0"/>
    <n v="2"/>
  </r>
  <r>
    <x v="5"/>
    <x v="1"/>
    <x v="0"/>
    <x v="92"/>
    <x v="1"/>
    <n v="8"/>
    <n v="2"/>
    <s v="Medical"/>
    <x v="0"/>
    <n v="865"/>
    <x v="1"/>
    <x v="0"/>
    <n v="91"/>
    <n v="4"/>
    <n v="2"/>
    <s v="Research Scientist"/>
    <x v="2"/>
    <s v="Married"/>
    <x v="600"/>
    <n v="22162"/>
    <n v="5"/>
    <x v="0"/>
    <x v="1"/>
    <n v="12"/>
    <n v="3"/>
    <n v="3"/>
    <n v="80"/>
    <n v="1"/>
    <n v="9"/>
    <n v="3"/>
    <n v="2"/>
    <n v="5"/>
    <n v="3"/>
    <n v="1"/>
    <n v="3"/>
  </r>
  <r>
    <x v="39"/>
    <x v="1"/>
    <x v="1"/>
    <x v="37"/>
    <x v="1"/>
    <n v="25"/>
    <n v="4"/>
    <s v="Medical"/>
    <x v="0"/>
    <n v="867"/>
    <x v="1"/>
    <x v="0"/>
    <n v="81"/>
    <n v="2"/>
    <n v="4"/>
    <s v="Manufacturing Director"/>
    <x v="0"/>
    <s v="Married"/>
    <x v="601"/>
    <n v="19028"/>
    <n v="3"/>
    <x v="0"/>
    <x v="1"/>
    <n v="22"/>
    <n v="4"/>
    <n v="3"/>
    <n v="80"/>
    <n v="0"/>
    <n v="31"/>
    <n v="3"/>
    <n v="3"/>
    <n v="9"/>
    <n v="8"/>
    <n v="0"/>
    <n v="0"/>
  </r>
  <r>
    <x v="2"/>
    <x v="1"/>
    <x v="0"/>
    <x v="500"/>
    <x v="0"/>
    <n v="16"/>
    <n v="4"/>
    <s v="Marketing"/>
    <x v="0"/>
    <n v="868"/>
    <x v="2"/>
    <x v="1"/>
    <n v="66"/>
    <n v="2"/>
    <n v="2"/>
    <s v="Sales Executive"/>
    <x v="2"/>
    <s v="Divorced"/>
    <x v="602"/>
    <n v="24558"/>
    <n v="4"/>
    <x v="0"/>
    <x v="1"/>
    <n v="19"/>
    <n v="3"/>
    <n v="4"/>
    <n v="80"/>
    <n v="2"/>
    <n v="9"/>
    <n v="2"/>
    <n v="3"/>
    <n v="1"/>
    <n v="0"/>
    <n v="0"/>
    <n v="0"/>
  </r>
  <r>
    <x v="14"/>
    <x v="1"/>
    <x v="0"/>
    <x v="151"/>
    <x v="2"/>
    <n v="8"/>
    <n v="2"/>
    <s v="Medical"/>
    <x v="0"/>
    <n v="869"/>
    <x v="0"/>
    <x v="1"/>
    <n v="63"/>
    <n v="2"/>
    <n v="1"/>
    <s v="Human Resources"/>
    <x v="0"/>
    <s v="Divorced"/>
    <x v="365"/>
    <n v="23965"/>
    <n v="1"/>
    <x v="0"/>
    <x v="1"/>
    <n v="13"/>
    <n v="3"/>
    <n v="4"/>
    <n v="80"/>
    <n v="1"/>
    <n v="6"/>
    <n v="6"/>
    <n v="3"/>
    <n v="5"/>
    <n v="1"/>
    <n v="0"/>
    <n v="4"/>
  </r>
  <r>
    <x v="15"/>
    <x v="1"/>
    <x v="0"/>
    <x v="501"/>
    <x v="1"/>
    <n v="1"/>
    <n v="2"/>
    <s v="Life Sciences"/>
    <x v="0"/>
    <n v="872"/>
    <x v="2"/>
    <x v="1"/>
    <n v="33"/>
    <n v="2"/>
    <n v="2"/>
    <s v="Manufacturing Director"/>
    <x v="0"/>
    <s v="Married"/>
    <x v="603"/>
    <n v="19146"/>
    <n v="6"/>
    <x v="0"/>
    <x v="1"/>
    <n v="22"/>
    <n v="4"/>
    <n v="1"/>
    <n v="80"/>
    <n v="2"/>
    <n v="4"/>
    <n v="2"/>
    <n v="1"/>
    <n v="2"/>
    <n v="2"/>
    <n v="2"/>
    <n v="2"/>
  </r>
  <r>
    <x v="20"/>
    <x v="1"/>
    <x v="0"/>
    <x v="360"/>
    <x v="1"/>
    <n v="8"/>
    <n v="4"/>
    <s v="Life Sciences"/>
    <x v="0"/>
    <n v="874"/>
    <x v="3"/>
    <x v="1"/>
    <n v="62"/>
    <n v="4"/>
    <n v="1"/>
    <s v="Laboratory Technician"/>
    <x v="0"/>
    <s v="Married"/>
    <x v="604"/>
    <n v="5044"/>
    <n v="2"/>
    <x v="0"/>
    <x v="0"/>
    <n v="24"/>
    <n v="4"/>
    <n v="3"/>
    <n v="80"/>
    <n v="1"/>
    <n v="10"/>
    <n v="2"/>
    <n v="2"/>
    <n v="3"/>
    <n v="2"/>
    <n v="0"/>
    <n v="2"/>
  </r>
  <r>
    <x v="19"/>
    <x v="1"/>
    <x v="1"/>
    <x v="502"/>
    <x v="1"/>
    <n v="2"/>
    <n v="1"/>
    <s v="Medical"/>
    <x v="0"/>
    <n v="875"/>
    <x v="0"/>
    <x v="1"/>
    <n v="35"/>
    <n v="3"/>
    <n v="1"/>
    <s v="Research Scientist"/>
    <x v="0"/>
    <s v="Single"/>
    <x v="605"/>
    <n v="9068"/>
    <n v="5"/>
    <x v="0"/>
    <x v="0"/>
    <n v="14"/>
    <n v="3"/>
    <n v="4"/>
    <n v="80"/>
    <n v="0"/>
    <n v="8"/>
    <n v="2"/>
    <n v="3"/>
    <n v="2"/>
    <n v="1"/>
    <n v="2"/>
    <n v="2"/>
  </r>
  <r>
    <x v="9"/>
    <x v="1"/>
    <x v="0"/>
    <x v="503"/>
    <x v="2"/>
    <n v="8"/>
    <n v="3"/>
    <s v="Life Sciences"/>
    <x v="0"/>
    <n v="878"/>
    <x v="3"/>
    <x v="1"/>
    <n v="77"/>
    <n v="2"/>
    <n v="1"/>
    <s v="Human Resources"/>
    <x v="3"/>
    <s v="Married"/>
    <x v="531"/>
    <n v="8635"/>
    <n v="0"/>
    <x v="0"/>
    <x v="1"/>
    <n v="21"/>
    <n v="4"/>
    <n v="3"/>
    <n v="80"/>
    <n v="0"/>
    <n v="6"/>
    <n v="3"/>
    <n v="3"/>
    <n v="5"/>
    <n v="4"/>
    <n v="0"/>
    <n v="3"/>
  </r>
  <r>
    <x v="36"/>
    <x v="1"/>
    <x v="0"/>
    <x v="449"/>
    <x v="0"/>
    <n v="3"/>
    <n v="1"/>
    <s v="Other"/>
    <x v="0"/>
    <n v="879"/>
    <x v="1"/>
    <x v="1"/>
    <n v="98"/>
    <n v="3"/>
    <n v="2"/>
    <s v="Sales Executive"/>
    <x v="3"/>
    <s v="Married"/>
    <x v="606"/>
    <n v="14363"/>
    <n v="1"/>
    <x v="0"/>
    <x v="0"/>
    <n v="18"/>
    <n v="3"/>
    <n v="4"/>
    <n v="80"/>
    <n v="0"/>
    <n v="5"/>
    <n v="3"/>
    <n v="3"/>
    <n v="5"/>
    <n v="3"/>
    <n v="0"/>
    <n v="3"/>
  </r>
  <r>
    <x v="10"/>
    <x v="1"/>
    <x v="0"/>
    <x v="504"/>
    <x v="1"/>
    <n v="9"/>
    <n v="3"/>
    <s v="Life Sciences"/>
    <x v="0"/>
    <n v="880"/>
    <x v="2"/>
    <x v="0"/>
    <n v="66"/>
    <n v="2"/>
    <n v="3"/>
    <s v="Manufacturing Director"/>
    <x v="2"/>
    <s v="Married"/>
    <x v="607"/>
    <n v="23457"/>
    <n v="1"/>
    <x v="0"/>
    <x v="0"/>
    <n v="20"/>
    <n v="4"/>
    <n v="2"/>
    <n v="80"/>
    <n v="1"/>
    <n v="17"/>
    <n v="2"/>
    <n v="3"/>
    <n v="17"/>
    <n v="14"/>
    <n v="5"/>
    <n v="15"/>
  </r>
  <r>
    <x v="10"/>
    <x v="0"/>
    <x v="1"/>
    <x v="505"/>
    <x v="1"/>
    <n v="25"/>
    <n v="4"/>
    <s v="Life Sciences"/>
    <x v="0"/>
    <n v="881"/>
    <x v="2"/>
    <x v="0"/>
    <n v="96"/>
    <n v="3"/>
    <n v="1"/>
    <s v="Research Scientist"/>
    <x v="1"/>
    <s v="Divorced"/>
    <x v="608"/>
    <n v="16612"/>
    <n v="1"/>
    <x v="0"/>
    <x v="0"/>
    <n v="19"/>
    <n v="3"/>
    <n v="1"/>
    <n v="80"/>
    <n v="1"/>
    <n v="10"/>
    <n v="3"/>
    <n v="2"/>
    <n v="10"/>
    <n v="2"/>
    <n v="7"/>
    <n v="8"/>
  </r>
  <r>
    <x v="5"/>
    <x v="1"/>
    <x v="2"/>
    <x v="506"/>
    <x v="1"/>
    <n v="1"/>
    <n v="3"/>
    <s v="Life Sciences"/>
    <x v="0"/>
    <n v="882"/>
    <x v="2"/>
    <x v="1"/>
    <n v="61"/>
    <n v="3"/>
    <n v="1"/>
    <s v="Laboratory Technician"/>
    <x v="0"/>
    <s v="Divorced"/>
    <x v="609"/>
    <n v="9148"/>
    <n v="0"/>
    <x v="0"/>
    <x v="1"/>
    <n v="12"/>
    <n v="3"/>
    <n v="2"/>
    <n v="80"/>
    <n v="1"/>
    <n v="4"/>
    <n v="2"/>
    <n v="3"/>
    <n v="3"/>
    <n v="0"/>
    <n v="0"/>
    <n v="2"/>
  </r>
  <r>
    <x v="36"/>
    <x v="1"/>
    <x v="0"/>
    <x v="507"/>
    <x v="0"/>
    <n v="4"/>
    <n v="1"/>
    <s v="Marketing"/>
    <x v="0"/>
    <n v="885"/>
    <x v="1"/>
    <x v="1"/>
    <n v="87"/>
    <n v="2"/>
    <n v="2"/>
    <s v="Sales Executive"/>
    <x v="3"/>
    <s v="Married"/>
    <x v="610"/>
    <n v="18154"/>
    <n v="1"/>
    <x v="0"/>
    <x v="1"/>
    <n v="12"/>
    <n v="3"/>
    <n v="1"/>
    <n v="80"/>
    <n v="0"/>
    <n v="5"/>
    <n v="1"/>
    <n v="4"/>
    <n v="5"/>
    <n v="2"/>
    <n v="0"/>
    <n v="3"/>
  </r>
  <r>
    <x v="1"/>
    <x v="1"/>
    <x v="0"/>
    <x v="508"/>
    <x v="1"/>
    <n v="1"/>
    <n v="3"/>
    <s v="Technical Degree"/>
    <x v="0"/>
    <n v="887"/>
    <x v="1"/>
    <x v="0"/>
    <n v="36"/>
    <n v="3"/>
    <n v="1"/>
    <s v="Research Scientist"/>
    <x v="3"/>
    <s v="Married"/>
    <x v="611"/>
    <n v="10554"/>
    <n v="2"/>
    <x v="0"/>
    <x v="1"/>
    <n v="16"/>
    <n v="3"/>
    <n v="2"/>
    <n v="80"/>
    <n v="1"/>
    <n v="7"/>
    <n v="2"/>
    <n v="3"/>
    <n v="4"/>
    <n v="2"/>
    <n v="0"/>
    <n v="2"/>
  </r>
  <r>
    <x v="17"/>
    <x v="1"/>
    <x v="2"/>
    <x v="509"/>
    <x v="1"/>
    <n v="4"/>
    <n v="1"/>
    <s v="Life Sciences"/>
    <x v="0"/>
    <n v="888"/>
    <x v="3"/>
    <x v="1"/>
    <n v="46"/>
    <n v="2"/>
    <n v="1"/>
    <s v="Laboratory Technician"/>
    <x v="0"/>
    <s v="Married"/>
    <x v="612"/>
    <n v="10778"/>
    <n v="0"/>
    <x v="0"/>
    <x v="1"/>
    <n v="17"/>
    <n v="3"/>
    <n v="4"/>
    <n v="80"/>
    <n v="0"/>
    <n v="6"/>
    <n v="2"/>
    <n v="2"/>
    <n v="5"/>
    <n v="2"/>
    <n v="3"/>
    <n v="4"/>
  </r>
  <r>
    <x v="5"/>
    <x v="1"/>
    <x v="1"/>
    <x v="510"/>
    <x v="0"/>
    <n v="5"/>
    <n v="2"/>
    <s v="Life Sciences"/>
    <x v="0"/>
    <n v="889"/>
    <x v="0"/>
    <x v="1"/>
    <n v="48"/>
    <n v="3"/>
    <n v="2"/>
    <s v="Sales Executive"/>
    <x v="1"/>
    <s v="Married"/>
    <x v="613"/>
    <n v="8891"/>
    <n v="1"/>
    <x v="0"/>
    <x v="1"/>
    <n v="14"/>
    <n v="3"/>
    <n v="4"/>
    <n v="80"/>
    <n v="1"/>
    <n v="10"/>
    <n v="3"/>
    <n v="3"/>
    <n v="10"/>
    <n v="8"/>
    <n v="5"/>
    <n v="3"/>
  </r>
  <r>
    <x v="8"/>
    <x v="1"/>
    <x v="0"/>
    <x v="511"/>
    <x v="0"/>
    <n v="9"/>
    <n v="3"/>
    <s v="Marketing"/>
    <x v="0"/>
    <n v="893"/>
    <x v="0"/>
    <x v="1"/>
    <n v="98"/>
    <n v="2"/>
    <n v="1"/>
    <s v="Sales Representative"/>
    <x v="1"/>
    <s v="Married"/>
    <x v="614"/>
    <n v="12102"/>
    <n v="0"/>
    <x v="0"/>
    <x v="1"/>
    <n v="19"/>
    <n v="3"/>
    <n v="4"/>
    <n v="80"/>
    <n v="1"/>
    <n v="3"/>
    <n v="3"/>
    <n v="3"/>
    <n v="2"/>
    <n v="2"/>
    <n v="1"/>
    <n v="2"/>
  </r>
  <r>
    <x v="19"/>
    <x v="1"/>
    <x v="0"/>
    <x v="512"/>
    <x v="1"/>
    <n v="3"/>
    <n v="3"/>
    <s v="Life Sciences"/>
    <x v="0"/>
    <n v="894"/>
    <x v="1"/>
    <x v="0"/>
    <n v="95"/>
    <n v="4"/>
    <n v="2"/>
    <s v="Laboratory Technician"/>
    <x v="0"/>
    <s v="Married"/>
    <x v="615"/>
    <n v="23726"/>
    <n v="2"/>
    <x v="0"/>
    <x v="0"/>
    <n v="13"/>
    <n v="3"/>
    <n v="2"/>
    <n v="80"/>
    <n v="1"/>
    <n v="17"/>
    <n v="1"/>
    <n v="2"/>
    <n v="5"/>
    <n v="3"/>
    <n v="1"/>
    <n v="3"/>
  </r>
  <r>
    <x v="12"/>
    <x v="1"/>
    <x v="0"/>
    <x v="513"/>
    <x v="1"/>
    <n v="11"/>
    <n v="4"/>
    <s v="Life Sciences"/>
    <x v="0"/>
    <n v="895"/>
    <x v="2"/>
    <x v="1"/>
    <n v="48"/>
    <n v="3"/>
    <n v="1"/>
    <s v="Research Scientist"/>
    <x v="0"/>
    <s v="Married"/>
    <x v="616"/>
    <n v="14871"/>
    <n v="3"/>
    <x v="0"/>
    <x v="0"/>
    <n v="19"/>
    <n v="3"/>
    <n v="2"/>
    <n v="80"/>
    <n v="1"/>
    <n v="8"/>
    <n v="2"/>
    <n v="3"/>
    <n v="6"/>
    <n v="4"/>
    <n v="0"/>
    <n v="2"/>
  </r>
  <r>
    <x v="11"/>
    <x v="0"/>
    <x v="0"/>
    <x v="514"/>
    <x v="0"/>
    <n v="1"/>
    <n v="3"/>
    <s v="Medical"/>
    <x v="0"/>
    <n v="896"/>
    <x v="0"/>
    <x v="0"/>
    <n v="48"/>
    <n v="2"/>
    <n v="1"/>
    <s v="Sales Representative"/>
    <x v="2"/>
    <s v="Divorced"/>
    <x v="617"/>
    <n v="23522"/>
    <n v="6"/>
    <x v="0"/>
    <x v="0"/>
    <n v="19"/>
    <n v="3"/>
    <n v="3"/>
    <n v="80"/>
    <n v="3"/>
    <n v="5"/>
    <n v="3"/>
    <n v="3"/>
    <n v="3"/>
    <n v="2"/>
    <n v="0"/>
    <n v="2"/>
  </r>
  <r>
    <x v="16"/>
    <x v="1"/>
    <x v="0"/>
    <x v="515"/>
    <x v="0"/>
    <n v="8"/>
    <n v="3"/>
    <s v="Marketing"/>
    <x v="0"/>
    <n v="897"/>
    <x v="3"/>
    <x v="1"/>
    <n v="73"/>
    <n v="3"/>
    <n v="4"/>
    <s v="Sales Executive"/>
    <x v="0"/>
    <s v="Married"/>
    <x v="618"/>
    <n v="22789"/>
    <n v="5"/>
    <x v="0"/>
    <x v="1"/>
    <n v="14"/>
    <n v="3"/>
    <n v="3"/>
    <n v="80"/>
    <n v="1"/>
    <n v="28"/>
    <n v="3"/>
    <n v="3"/>
    <n v="2"/>
    <n v="0"/>
    <n v="2"/>
    <n v="2"/>
  </r>
  <r>
    <x v="10"/>
    <x v="1"/>
    <x v="0"/>
    <x v="294"/>
    <x v="1"/>
    <n v="25"/>
    <n v="3"/>
    <s v="Technical Degree"/>
    <x v="0"/>
    <n v="899"/>
    <x v="2"/>
    <x v="1"/>
    <n v="78"/>
    <n v="2"/>
    <n v="3"/>
    <s v="Manufacturing Director"/>
    <x v="1"/>
    <s v="Married"/>
    <x v="619"/>
    <n v="9129"/>
    <n v="3"/>
    <x v="0"/>
    <x v="1"/>
    <n v="16"/>
    <n v="3"/>
    <n v="1"/>
    <n v="80"/>
    <n v="0"/>
    <n v="16"/>
    <n v="2"/>
    <n v="3"/>
    <n v="13"/>
    <n v="10"/>
    <n v="4"/>
    <n v="8"/>
  </r>
  <r>
    <x v="2"/>
    <x v="1"/>
    <x v="1"/>
    <x v="516"/>
    <x v="0"/>
    <n v="21"/>
    <n v="2"/>
    <s v="Medical"/>
    <x v="0"/>
    <n v="900"/>
    <x v="1"/>
    <x v="0"/>
    <n v="54"/>
    <n v="3"/>
    <n v="1"/>
    <s v="Sales Representative"/>
    <x v="0"/>
    <s v="Married"/>
    <x v="620"/>
    <n v="21222"/>
    <n v="5"/>
    <x v="0"/>
    <x v="1"/>
    <n v="15"/>
    <n v="3"/>
    <n v="2"/>
    <n v="80"/>
    <n v="1"/>
    <n v="10"/>
    <n v="3"/>
    <n v="3"/>
    <n v="5"/>
    <n v="4"/>
    <n v="0"/>
    <n v="0"/>
  </r>
  <r>
    <x v="16"/>
    <x v="1"/>
    <x v="0"/>
    <x v="517"/>
    <x v="1"/>
    <n v="23"/>
    <n v="4"/>
    <s v="Life Sciences"/>
    <x v="0"/>
    <n v="901"/>
    <x v="2"/>
    <x v="0"/>
    <n v="72"/>
    <n v="3"/>
    <n v="4"/>
    <s v="Research Director"/>
    <x v="0"/>
    <s v="Single"/>
    <x v="621"/>
    <n v="20206"/>
    <n v="6"/>
    <x v="0"/>
    <x v="1"/>
    <n v="18"/>
    <n v="3"/>
    <n v="3"/>
    <n v="80"/>
    <n v="0"/>
    <n v="33"/>
    <n v="0"/>
    <n v="3"/>
    <n v="12"/>
    <n v="9"/>
    <n v="3"/>
    <n v="8"/>
  </r>
  <r>
    <x v="23"/>
    <x v="1"/>
    <x v="1"/>
    <x v="353"/>
    <x v="1"/>
    <n v="1"/>
    <n v="3"/>
    <s v="Life Sciences"/>
    <x v="0"/>
    <n v="902"/>
    <x v="2"/>
    <x v="0"/>
    <n v="33"/>
    <n v="3"/>
    <n v="2"/>
    <s v="Healthcare Representative"/>
    <x v="0"/>
    <s v="Married"/>
    <x v="622"/>
    <n v="21782"/>
    <n v="4"/>
    <x v="0"/>
    <x v="1"/>
    <n v="13"/>
    <n v="3"/>
    <n v="2"/>
    <n v="80"/>
    <n v="1"/>
    <n v="12"/>
    <n v="2"/>
    <n v="2"/>
    <n v="5"/>
    <n v="2"/>
    <n v="2"/>
    <n v="2"/>
  </r>
  <r>
    <x v="40"/>
    <x v="1"/>
    <x v="0"/>
    <x v="122"/>
    <x v="0"/>
    <n v="2"/>
    <n v="2"/>
    <s v="Marketing"/>
    <x v="0"/>
    <n v="903"/>
    <x v="1"/>
    <x v="0"/>
    <n v="35"/>
    <n v="3"/>
    <n v="2"/>
    <s v="Sales Executive"/>
    <x v="0"/>
    <s v="Married"/>
    <x v="623"/>
    <n v="17783"/>
    <n v="0"/>
    <x v="0"/>
    <x v="0"/>
    <n v="22"/>
    <n v="4"/>
    <n v="1"/>
    <n v="80"/>
    <n v="1"/>
    <n v="8"/>
    <n v="2"/>
    <n v="3"/>
    <n v="7"/>
    <n v="6"/>
    <n v="7"/>
    <n v="7"/>
  </r>
  <r>
    <x v="2"/>
    <x v="1"/>
    <x v="2"/>
    <x v="480"/>
    <x v="0"/>
    <n v="19"/>
    <n v="2"/>
    <s v="Medical"/>
    <x v="0"/>
    <n v="904"/>
    <x v="3"/>
    <x v="1"/>
    <n v="32"/>
    <n v="3"/>
    <n v="3"/>
    <s v="Sales Executive"/>
    <x v="1"/>
    <s v="Single"/>
    <x v="624"/>
    <n v="4814"/>
    <n v="1"/>
    <x v="0"/>
    <x v="0"/>
    <n v="13"/>
    <n v="3"/>
    <n v="4"/>
    <n v="80"/>
    <n v="0"/>
    <n v="10"/>
    <n v="2"/>
    <n v="3"/>
    <n v="10"/>
    <n v="0"/>
    <n v="0"/>
    <n v="9"/>
  </r>
  <r>
    <x v="24"/>
    <x v="1"/>
    <x v="2"/>
    <x v="518"/>
    <x v="1"/>
    <n v="2"/>
    <n v="4"/>
    <s v="Life Sciences"/>
    <x v="0"/>
    <n v="905"/>
    <x v="3"/>
    <x v="1"/>
    <n v="98"/>
    <n v="3"/>
    <n v="4"/>
    <s v="Manager"/>
    <x v="3"/>
    <s v="Divorced"/>
    <x v="625"/>
    <n v="4544"/>
    <n v="1"/>
    <x v="0"/>
    <x v="1"/>
    <n v="11"/>
    <n v="3"/>
    <n v="4"/>
    <n v="80"/>
    <n v="1"/>
    <n v="31"/>
    <n v="3"/>
    <n v="3"/>
    <n v="31"/>
    <n v="6"/>
    <n v="14"/>
    <n v="7"/>
  </r>
  <r>
    <x v="22"/>
    <x v="1"/>
    <x v="0"/>
    <x v="519"/>
    <x v="2"/>
    <n v="2"/>
    <n v="3"/>
    <s v="Life Sciences"/>
    <x v="0"/>
    <n v="909"/>
    <x v="2"/>
    <x v="0"/>
    <n v="42"/>
    <n v="2"/>
    <n v="2"/>
    <s v="Human Resources"/>
    <x v="0"/>
    <s v="Married"/>
    <x v="626"/>
    <n v="7790"/>
    <n v="8"/>
    <x v="0"/>
    <x v="1"/>
    <n v="11"/>
    <n v="3"/>
    <n v="3"/>
    <n v="80"/>
    <n v="2"/>
    <n v="13"/>
    <n v="2"/>
    <n v="3"/>
    <n v="5"/>
    <n v="4"/>
    <n v="0"/>
    <n v="4"/>
  </r>
  <r>
    <x v="3"/>
    <x v="1"/>
    <x v="0"/>
    <x v="520"/>
    <x v="2"/>
    <n v="3"/>
    <n v="2"/>
    <s v="Human Resources"/>
    <x v="0"/>
    <n v="910"/>
    <x v="2"/>
    <x v="1"/>
    <n v="57"/>
    <n v="3"/>
    <n v="1"/>
    <s v="Human Resources"/>
    <x v="1"/>
    <s v="Divorced"/>
    <x v="627"/>
    <n v="22650"/>
    <n v="3"/>
    <x v="0"/>
    <x v="0"/>
    <n v="11"/>
    <n v="3"/>
    <n v="3"/>
    <n v="80"/>
    <n v="1"/>
    <n v="7"/>
    <n v="4"/>
    <n v="4"/>
    <n v="4"/>
    <n v="3"/>
    <n v="0"/>
    <n v="3"/>
  </r>
  <r>
    <x v="5"/>
    <x v="0"/>
    <x v="0"/>
    <x v="521"/>
    <x v="1"/>
    <n v="25"/>
    <n v="4"/>
    <s v="Life Sciences"/>
    <x v="0"/>
    <n v="911"/>
    <x v="3"/>
    <x v="1"/>
    <n v="87"/>
    <n v="3"/>
    <n v="1"/>
    <s v="Laboratory Technician"/>
    <x v="0"/>
    <s v="Single"/>
    <x v="628"/>
    <n v="18016"/>
    <n v="1"/>
    <x v="0"/>
    <x v="0"/>
    <n v="24"/>
    <n v="4"/>
    <n v="3"/>
    <n v="80"/>
    <n v="0"/>
    <n v="1"/>
    <n v="2"/>
    <n v="1"/>
    <n v="1"/>
    <n v="0"/>
    <n v="0"/>
    <n v="1"/>
  </r>
  <r>
    <x v="11"/>
    <x v="1"/>
    <x v="0"/>
    <x v="522"/>
    <x v="1"/>
    <n v="7"/>
    <n v="1"/>
    <s v="Medical"/>
    <x v="0"/>
    <n v="912"/>
    <x v="3"/>
    <x v="0"/>
    <n v="62"/>
    <n v="2"/>
    <n v="1"/>
    <s v="Laboratory Technician"/>
    <x v="0"/>
    <s v="Divorced"/>
    <x v="629"/>
    <n v="6054"/>
    <n v="6"/>
    <x v="0"/>
    <x v="1"/>
    <n v="14"/>
    <n v="3"/>
    <n v="3"/>
    <n v="80"/>
    <n v="3"/>
    <n v="8"/>
    <n v="5"/>
    <n v="3"/>
    <n v="4"/>
    <n v="3"/>
    <n v="0"/>
    <n v="3"/>
  </r>
  <r>
    <x v="20"/>
    <x v="1"/>
    <x v="0"/>
    <x v="498"/>
    <x v="1"/>
    <n v="9"/>
    <n v="2"/>
    <s v="Life Sciences"/>
    <x v="0"/>
    <n v="913"/>
    <x v="0"/>
    <x v="1"/>
    <n v="61"/>
    <n v="3"/>
    <n v="1"/>
    <s v="Research Scientist"/>
    <x v="3"/>
    <s v="Married"/>
    <x v="594"/>
    <n v="7508"/>
    <n v="1"/>
    <x v="0"/>
    <x v="0"/>
    <n v="13"/>
    <n v="3"/>
    <n v="4"/>
    <n v="80"/>
    <n v="0"/>
    <n v="8"/>
    <n v="0"/>
    <n v="3"/>
    <n v="8"/>
    <n v="7"/>
    <n v="7"/>
    <n v="1"/>
  </r>
  <r>
    <x v="14"/>
    <x v="1"/>
    <x v="0"/>
    <x v="344"/>
    <x v="0"/>
    <n v="5"/>
    <n v="4"/>
    <s v="Medical"/>
    <x v="0"/>
    <n v="916"/>
    <x v="3"/>
    <x v="1"/>
    <n v="98"/>
    <n v="3"/>
    <n v="2"/>
    <s v="Sales Executive"/>
    <x v="0"/>
    <s v="Single"/>
    <x v="630"/>
    <n v="24252"/>
    <n v="1"/>
    <x v="0"/>
    <x v="1"/>
    <n v="14"/>
    <n v="3"/>
    <n v="2"/>
    <n v="80"/>
    <n v="0"/>
    <n v="4"/>
    <n v="3"/>
    <n v="3"/>
    <n v="4"/>
    <n v="2"/>
    <n v="0"/>
    <n v="2"/>
  </r>
  <r>
    <x v="34"/>
    <x v="0"/>
    <x v="1"/>
    <x v="523"/>
    <x v="1"/>
    <n v="2"/>
    <n v="1"/>
    <s v="Life Sciences"/>
    <x v="0"/>
    <n v="918"/>
    <x v="2"/>
    <x v="1"/>
    <n v="57"/>
    <n v="2"/>
    <n v="1"/>
    <s v="Laboratory Technician"/>
    <x v="0"/>
    <s v="Divorced"/>
    <x v="631"/>
    <n v="13384"/>
    <n v="9"/>
    <x v="0"/>
    <x v="0"/>
    <n v="14"/>
    <n v="3"/>
    <n v="4"/>
    <n v="80"/>
    <n v="1"/>
    <n v="3"/>
    <n v="3"/>
    <n v="2"/>
    <n v="1"/>
    <n v="0"/>
    <n v="0"/>
    <n v="0"/>
  </r>
  <r>
    <x v="23"/>
    <x v="1"/>
    <x v="0"/>
    <x v="524"/>
    <x v="1"/>
    <n v="8"/>
    <n v="3"/>
    <s v="Life Sciences"/>
    <x v="0"/>
    <n v="920"/>
    <x v="3"/>
    <x v="0"/>
    <n v="55"/>
    <n v="3"/>
    <n v="2"/>
    <s v="Manufacturing Director"/>
    <x v="1"/>
    <s v="Divorced"/>
    <x v="632"/>
    <n v="23814"/>
    <n v="4"/>
    <x v="0"/>
    <x v="1"/>
    <n v="21"/>
    <n v="4"/>
    <n v="3"/>
    <n v="80"/>
    <n v="1"/>
    <n v="4"/>
    <n v="2"/>
    <n v="4"/>
    <n v="1"/>
    <n v="0"/>
    <n v="0"/>
    <n v="0"/>
  </r>
  <r>
    <x v="35"/>
    <x v="0"/>
    <x v="0"/>
    <x v="525"/>
    <x v="0"/>
    <n v="2"/>
    <n v="3"/>
    <s v="Medical"/>
    <x v="0"/>
    <n v="922"/>
    <x v="1"/>
    <x v="0"/>
    <n v="49"/>
    <n v="2"/>
    <n v="1"/>
    <s v="Sales Representative"/>
    <x v="2"/>
    <s v="Single"/>
    <x v="633"/>
    <n v="22052"/>
    <n v="1"/>
    <x v="0"/>
    <x v="1"/>
    <n v="13"/>
    <n v="3"/>
    <n v="4"/>
    <n v="80"/>
    <n v="0"/>
    <n v="2"/>
    <n v="3"/>
    <n v="2"/>
    <n v="2"/>
    <n v="2"/>
    <n v="0"/>
    <n v="2"/>
  </r>
  <r>
    <x v="18"/>
    <x v="0"/>
    <x v="0"/>
    <x v="141"/>
    <x v="1"/>
    <n v="18"/>
    <n v="1"/>
    <s v="Other"/>
    <x v="0"/>
    <n v="923"/>
    <x v="2"/>
    <x v="0"/>
    <n v="65"/>
    <n v="3"/>
    <n v="1"/>
    <s v="Research Scientist"/>
    <x v="0"/>
    <s v="Single"/>
    <x v="7"/>
    <n v="8870"/>
    <n v="1"/>
    <x v="0"/>
    <x v="1"/>
    <n v="19"/>
    <n v="3"/>
    <n v="1"/>
    <n v="80"/>
    <n v="0"/>
    <n v="1"/>
    <n v="3"/>
    <n v="2"/>
    <n v="1"/>
    <n v="0"/>
    <n v="0"/>
    <n v="0"/>
  </r>
  <r>
    <x v="9"/>
    <x v="1"/>
    <x v="0"/>
    <x v="526"/>
    <x v="1"/>
    <n v="14"/>
    <n v="1"/>
    <s v="Life Sciences"/>
    <x v="0"/>
    <n v="924"/>
    <x v="1"/>
    <x v="1"/>
    <n v="68"/>
    <n v="3"/>
    <n v="2"/>
    <s v="Healthcare Representative"/>
    <x v="0"/>
    <s v="Married"/>
    <x v="634"/>
    <n v="4821"/>
    <n v="0"/>
    <x v="0"/>
    <x v="0"/>
    <n v="17"/>
    <n v="3"/>
    <n v="1"/>
    <n v="80"/>
    <n v="1"/>
    <n v="17"/>
    <n v="2"/>
    <n v="2"/>
    <n v="16"/>
    <n v="8"/>
    <n v="4"/>
    <n v="11"/>
  </r>
  <r>
    <x v="40"/>
    <x v="1"/>
    <x v="0"/>
    <x v="527"/>
    <x v="0"/>
    <n v="2"/>
    <n v="4"/>
    <s v="Life Sciences"/>
    <x v="0"/>
    <n v="925"/>
    <x v="2"/>
    <x v="0"/>
    <n v="65"/>
    <n v="2"/>
    <n v="1"/>
    <s v="Sales Representative"/>
    <x v="0"/>
    <s v="Single"/>
    <x v="635"/>
    <n v="13137"/>
    <n v="1"/>
    <x v="0"/>
    <x v="0"/>
    <n v="18"/>
    <n v="3"/>
    <n v="1"/>
    <n v="80"/>
    <n v="0"/>
    <n v="3"/>
    <n v="3"/>
    <n v="2"/>
    <n v="3"/>
    <n v="2"/>
    <n v="1"/>
    <n v="2"/>
  </r>
  <r>
    <x v="15"/>
    <x v="0"/>
    <x v="0"/>
    <x v="528"/>
    <x v="1"/>
    <n v="3"/>
    <n v="1"/>
    <s v="Life Sciences"/>
    <x v="0"/>
    <n v="926"/>
    <x v="0"/>
    <x v="0"/>
    <n v="34"/>
    <n v="3"/>
    <n v="2"/>
    <s v="Manufacturing Director"/>
    <x v="2"/>
    <s v="Married"/>
    <x v="636"/>
    <n v="10022"/>
    <n v="0"/>
    <x v="0"/>
    <x v="0"/>
    <n v="19"/>
    <n v="3"/>
    <n v="1"/>
    <n v="80"/>
    <n v="1"/>
    <n v="4"/>
    <n v="3"/>
    <n v="4"/>
    <n v="3"/>
    <n v="2"/>
    <n v="0"/>
    <n v="2"/>
  </r>
  <r>
    <x v="0"/>
    <x v="0"/>
    <x v="0"/>
    <x v="529"/>
    <x v="1"/>
    <n v="2"/>
    <n v="4"/>
    <s v="Life Sciences"/>
    <x v="0"/>
    <n v="927"/>
    <x v="0"/>
    <x v="0"/>
    <n v="57"/>
    <n v="1"/>
    <n v="1"/>
    <s v="Laboratory Technician"/>
    <x v="0"/>
    <s v="Divorced"/>
    <x v="637"/>
    <n v="17725"/>
    <n v="4"/>
    <x v="0"/>
    <x v="0"/>
    <n v="13"/>
    <n v="3"/>
    <n v="3"/>
    <n v="80"/>
    <n v="1"/>
    <n v="10"/>
    <n v="1"/>
    <n v="2"/>
    <n v="7"/>
    <n v="7"/>
    <n v="1"/>
    <n v="0"/>
  </r>
  <r>
    <x v="14"/>
    <x v="1"/>
    <x v="0"/>
    <x v="530"/>
    <x v="1"/>
    <n v="9"/>
    <n v="3"/>
    <s v="Medical"/>
    <x v="0"/>
    <n v="930"/>
    <x v="1"/>
    <x v="0"/>
    <n v="77"/>
    <n v="3"/>
    <n v="1"/>
    <s v="Research Scientist"/>
    <x v="2"/>
    <s v="Divorced"/>
    <x v="638"/>
    <n v="9834"/>
    <n v="5"/>
    <x v="0"/>
    <x v="1"/>
    <n v="18"/>
    <n v="3"/>
    <n v="2"/>
    <n v="80"/>
    <n v="1"/>
    <n v="6"/>
    <n v="2"/>
    <n v="3"/>
    <n v="2"/>
    <n v="2"/>
    <n v="2"/>
    <n v="2"/>
  </r>
  <r>
    <x v="22"/>
    <x v="0"/>
    <x v="0"/>
    <x v="531"/>
    <x v="1"/>
    <n v="6"/>
    <n v="3"/>
    <s v="Medical"/>
    <x v="0"/>
    <n v="932"/>
    <x v="2"/>
    <x v="1"/>
    <n v="70"/>
    <n v="3"/>
    <n v="1"/>
    <s v="Laboratory Technician"/>
    <x v="3"/>
    <s v="Married"/>
    <x v="639"/>
    <n v="4303"/>
    <n v="7"/>
    <x v="0"/>
    <x v="0"/>
    <n v="21"/>
    <n v="4"/>
    <n v="4"/>
    <n v="80"/>
    <n v="0"/>
    <n v="8"/>
    <n v="2"/>
    <n v="1"/>
    <n v="2"/>
    <n v="2"/>
    <n v="2"/>
    <n v="2"/>
  </r>
  <r>
    <x v="4"/>
    <x v="1"/>
    <x v="0"/>
    <x v="532"/>
    <x v="1"/>
    <n v="4"/>
    <n v="3"/>
    <s v="Life Sciences"/>
    <x v="0"/>
    <n v="933"/>
    <x v="0"/>
    <x v="0"/>
    <n v="76"/>
    <n v="3"/>
    <n v="1"/>
    <s v="Research Scientist"/>
    <x v="2"/>
    <s v="Single"/>
    <x v="640"/>
    <n v="17808"/>
    <n v="1"/>
    <x v="0"/>
    <x v="1"/>
    <n v="19"/>
    <n v="3"/>
    <n v="3"/>
    <n v="80"/>
    <n v="0"/>
    <n v="1"/>
    <n v="2"/>
    <n v="3"/>
    <n v="1"/>
    <n v="1"/>
    <n v="0"/>
    <n v="0"/>
  </r>
  <r>
    <x v="13"/>
    <x v="1"/>
    <x v="0"/>
    <x v="533"/>
    <x v="1"/>
    <n v="10"/>
    <n v="3"/>
    <s v="Life Sciences"/>
    <x v="0"/>
    <n v="934"/>
    <x v="0"/>
    <x v="1"/>
    <n v="83"/>
    <n v="3"/>
    <n v="1"/>
    <s v="Laboratory Technician"/>
    <x v="1"/>
    <s v="Divorced"/>
    <x v="641"/>
    <n v="6896"/>
    <n v="1"/>
    <x v="0"/>
    <x v="1"/>
    <n v="14"/>
    <n v="3"/>
    <n v="2"/>
    <n v="80"/>
    <n v="2"/>
    <n v="1"/>
    <n v="3"/>
    <n v="3"/>
    <n v="1"/>
    <n v="0"/>
    <n v="1"/>
    <n v="0"/>
  </r>
  <r>
    <x v="19"/>
    <x v="1"/>
    <x v="0"/>
    <x v="534"/>
    <x v="0"/>
    <n v="14"/>
    <n v="2"/>
    <s v="Medical"/>
    <x v="0"/>
    <n v="936"/>
    <x v="1"/>
    <x v="0"/>
    <n v="68"/>
    <n v="2"/>
    <n v="2"/>
    <s v="Sales Executive"/>
    <x v="2"/>
    <s v="Single"/>
    <x v="642"/>
    <n v="7824"/>
    <n v="7"/>
    <x v="0"/>
    <x v="1"/>
    <n v="17"/>
    <n v="3"/>
    <n v="1"/>
    <n v="80"/>
    <n v="0"/>
    <n v="10"/>
    <n v="6"/>
    <n v="3"/>
    <n v="5"/>
    <n v="4"/>
    <n v="0"/>
    <n v="3"/>
  </r>
  <r>
    <x v="3"/>
    <x v="1"/>
    <x v="0"/>
    <x v="535"/>
    <x v="1"/>
    <n v="1"/>
    <n v="4"/>
    <s v="Other"/>
    <x v="0"/>
    <n v="939"/>
    <x v="1"/>
    <x v="1"/>
    <n v="100"/>
    <n v="2"/>
    <n v="1"/>
    <s v="Research Scientist"/>
    <x v="3"/>
    <s v="Single"/>
    <x v="643"/>
    <n v="3339"/>
    <n v="3"/>
    <x v="0"/>
    <x v="0"/>
    <n v="11"/>
    <n v="3"/>
    <n v="2"/>
    <n v="80"/>
    <n v="0"/>
    <n v="6"/>
    <n v="1"/>
    <n v="3"/>
    <n v="3"/>
    <n v="2"/>
    <n v="0"/>
    <n v="2"/>
  </r>
  <r>
    <x v="34"/>
    <x v="1"/>
    <x v="0"/>
    <x v="536"/>
    <x v="1"/>
    <n v="5"/>
    <n v="3"/>
    <s v="Technical Degree"/>
    <x v="0"/>
    <n v="940"/>
    <x v="1"/>
    <x v="0"/>
    <n v="37"/>
    <n v="2"/>
    <n v="3"/>
    <s v="Healthcare Representative"/>
    <x v="1"/>
    <s v="Divorced"/>
    <x v="644"/>
    <n v="9255"/>
    <n v="2"/>
    <x v="0"/>
    <x v="0"/>
    <n v="13"/>
    <n v="3"/>
    <n v="4"/>
    <n v="80"/>
    <n v="1"/>
    <n v="24"/>
    <n v="3"/>
    <n v="3"/>
    <n v="6"/>
    <n v="0"/>
    <n v="0"/>
    <n v="4"/>
  </r>
  <r>
    <x v="12"/>
    <x v="1"/>
    <x v="0"/>
    <x v="537"/>
    <x v="0"/>
    <n v="7"/>
    <n v="4"/>
    <s v="Life Sciences"/>
    <x v="0"/>
    <n v="941"/>
    <x v="0"/>
    <x v="1"/>
    <n v="41"/>
    <n v="2"/>
    <n v="1"/>
    <s v="Sales Representative"/>
    <x v="2"/>
    <s v="Married"/>
    <x v="645"/>
    <n v="11737"/>
    <n v="3"/>
    <x v="0"/>
    <x v="1"/>
    <n v="15"/>
    <n v="3"/>
    <n v="2"/>
    <n v="80"/>
    <n v="0"/>
    <n v="13"/>
    <n v="2"/>
    <n v="4"/>
    <n v="7"/>
    <n v="7"/>
    <n v="5"/>
    <n v="2"/>
  </r>
  <r>
    <x v="10"/>
    <x v="1"/>
    <x v="0"/>
    <x v="538"/>
    <x v="1"/>
    <n v="21"/>
    <n v="1"/>
    <s v="Life Sciences"/>
    <x v="0"/>
    <n v="942"/>
    <x v="2"/>
    <x v="0"/>
    <n v="51"/>
    <n v="3"/>
    <n v="2"/>
    <s v="Healthcare Representative"/>
    <x v="0"/>
    <s v="Married"/>
    <x v="55"/>
    <n v="19170"/>
    <n v="1"/>
    <x v="0"/>
    <x v="0"/>
    <n v="25"/>
    <n v="4"/>
    <n v="4"/>
    <n v="80"/>
    <n v="1"/>
    <n v="10"/>
    <n v="2"/>
    <n v="1"/>
    <n v="10"/>
    <n v="6"/>
    <n v="0"/>
    <n v="7"/>
  </r>
  <r>
    <x v="1"/>
    <x v="1"/>
    <x v="0"/>
    <x v="458"/>
    <x v="1"/>
    <n v="8"/>
    <n v="2"/>
    <s v="Other"/>
    <x v="0"/>
    <n v="944"/>
    <x v="3"/>
    <x v="0"/>
    <n v="51"/>
    <n v="3"/>
    <n v="3"/>
    <s v="Laboratory Technician"/>
    <x v="1"/>
    <s v="Married"/>
    <x v="646"/>
    <n v="22477"/>
    <n v="4"/>
    <x v="0"/>
    <x v="1"/>
    <n v="11"/>
    <n v="3"/>
    <n v="3"/>
    <n v="80"/>
    <n v="1"/>
    <n v="29"/>
    <n v="3"/>
    <n v="2"/>
    <n v="26"/>
    <n v="9"/>
    <n v="1"/>
    <n v="7"/>
  </r>
  <r>
    <x v="26"/>
    <x v="1"/>
    <x v="0"/>
    <x v="198"/>
    <x v="1"/>
    <n v="20"/>
    <n v="4"/>
    <s v="Medical"/>
    <x v="0"/>
    <n v="945"/>
    <x v="2"/>
    <x v="1"/>
    <n v="51"/>
    <n v="3"/>
    <n v="1"/>
    <s v="Research Scientist"/>
    <x v="2"/>
    <s v="Married"/>
    <x v="647"/>
    <n v="5543"/>
    <n v="4"/>
    <x v="0"/>
    <x v="1"/>
    <n v="17"/>
    <n v="3"/>
    <n v="1"/>
    <n v="80"/>
    <n v="2"/>
    <n v="13"/>
    <n v="2"/>
    <n v="2"/>
    <n v="0"/>
    <n v="0"/>
    <n v="0"/>
    <n v="0"/>
  </r>
  <r>
    <x v="12"/>
    <x v="1"/>
    <x v="2"/>
    <x v="539"/>
    <x v="0"/>
    <n v="20"/>
    <n v="2"/>
    <s v="Marketing"/>
    <x v="0"/>
    <n v="947"/>
    <x v="2"/>
    <x v="0"/>
    <n v="45"/>
    <n v="3"/>
    <n v="2"/>
    <s v="Sales Executive"/>
    <x v="2"/>
    <s v="Married"/>
    <x v="648"/>
    <n v="24406"/>
    <n v="1"/>
    <x v="0"/>
    <x v="1"/>
    <n v="13"/>
    <n v="3"/>
    <n v="4"/>
    <n v="80"/>
    <n v="1"/>
    <n v="9"/>
    <n v="2"/>
    <n v="2"/>
    <n v="9"/>
    <n v="8"/>
    <n v="0"/>
    <n v="0"/>
  </r>
  <r>
    <x v="9"/>
    <x v="1"/>
    <x v="0"/>
    <x v="540"/>
    <x v="1"/>
    <n v="7"/>
    <n v="4"/>
    <s v="Other"/>
    <x v="0"/>
    <n v="949"/>
    <x v="0"/>
    <x v="1"/>
    <n v="65"/>
    <n v="3"/>
    <n v="1"/>
    <s v="Research Scientist"/>
    <x v="0"/>
    <s v="Single"/>
    <x v="649"/>
    <n v="23293"/>
    <n v="2"/>
    <x v="0"/>
    <x v="1"/>
    <n v="18"/>
    <n v="3"/>
    <n v="3"/>
    <n v="80"/>
    <n v="0"/>
    <n v="8"/>
    <n v="6"/>
    <n v="3"/>
    <n v="6"/>
    <n v="2"/>
    <n v="0"/>
    <n v="1"/>
  </r>
  <r>
    <x v="8"/>
    <x v="1"/>
    <x v="0"/>
    <x v="541"/>
    <x v="1"/>
    <n v="1"/>
    <n v="3"/>
    <s v="Technical Degree"/>
    <x v="0"/>
    <n v="950"/>
    <x v="2"/>
    <x v="0"/>
    <n v="80"/>
    <n v="3"/>
    <n v="3"/>
    <s v="Research Director"/>
    <x v="3"/>
    <s v="Married"/>
    <x v="650"/>
    <n v="16292"/>
    <n v="1"/>
    <x v="0"/>
    <x v="1"/>
    <n v="13"/>
    <n v="3"/>
    <n v="2"/>
    <n v="80"/>
    <n v="1"/>
    <n v="15"/>
    <n v="3"/>
    <n v="3"/>
    <n v="15"/>
    <n v="12"/>
    <n v="5"/>
    <n v="11"/>
  </r>
  <r>
    <x v="5"/>
    <x v="1"/>
    <x v="2"/>
    <x v="488"/>
    <x v="1"/>
    <n v="1"/>
    <n v="3"/>
    <s v="Life Sciences"/>
    <x v="0"/>
    <n v="951"/>
    <x v="1"/>
    <x v="0"/>
    <n v="70"/>
    <n v="2"/>
    <n v="1"/>
    <s v="Laboratory Technician"/>
    <x v="1"/>
    <s v="Married"/>
    <x v="651"/>
    <n v="3974"/>
    <n v="6"/>
    <x v="0"/>
    <x v="1"/>
    <n v="20"/>
    <n v="4"/>
    <n v="3"/>
    <n v="80"/>
    <n v="0"/>
    <n v="5"/>
    <n v="3"/>
    <n v="3"/>
    <n v="3"/>
    <n v="0"/>
    <n v="0"/>
    <n v="2"/>
  </r>
  <r>
    <x v="36"/>
    <x v="0"/>
    <x v="0"/>
    <x v="542"/>
    <x v="0"/>
    <n v="19"/>
    <n v="2"/>
    <s v="Marketing"/>
    <x v="0"/>
    <n v="952"/>
    <x v="1"/>
    <x v="1"/>
    <n v="36"/>
    <n v="2"/>
    <n v="1"/>
    <s v="Sales Representative"/>
    <x v="1"/>
    <s v="Married"/>
    <x v="652"/>
    <n v="18798"/>
    <n v="1"/>
    <x v="0"/>
    <x v="0"/>
    <n v="18"/>
    <n v="3"/>
    <n v="3"/>
    <n v="80"/>
    <n v="3"/>
    <n v="1"/>
    <n v="2"/>
    <n v="3"/>
    <n v="1"/>
    <n v="0"/>
    <n v="0"/>
    <n v="0"/>
  </r>
  <r>
    <x v="32"/>
    <x v="1"/>
    <x v="0"/>
    <x v="109"/>
    <x v="0"/>
    <n v="10"/>
    <n v="4"/>
    <s v="Marketing"/>
    <x v="0"/>
    <n v="954"/>
    <x v="3"/>
    <x v="1"/>
    <n v="67"/>
    <n v="2"/>
    <n v="3"/>
    <s v="Sales Executive"/>
    <x v="1"/>
    <s v="Divorced"/>
    <x v="653"/>
    <n v="20652"/>
    <n v="2"/>
    <x v="0"/>
    <x v="1"/>
    <n v="12"/>
    <n v="3"/>
    <n v="2"/>
    <n v="80"/>
    <n v="1"/>
    <n v="11"/>
    <n v="2"/>
    <n v="2"/>
    <n v="1"/>
    <n v="0"/>
    <n v="0"/>
    <n v="0"/>
  </r>
  <r>
    <x v="25"/>
    <x v="1"/>
    <x v="1"/>
    <x v="330"/>
    <x v="0"/>
    <n v="1"/>
    <n v="3"/>
    <s v="Medical"/>
    <x v="0"/>
    <n v="956"/>
    <x v="1"/>
    <x v="1"/>
    <n v="52"/>
    <n v="2"/>
    <n v="2"/>
    <s v="Sales Executive"/>
    <x v="3"/>
    <s v="Single"/>
    <x v="654"/>
    <n v="11148"/>
    <n v="1"/>
    <x v="0"/>
    <x v="1"/>
    <n v="12"/>
    <n v="3"/>
    <n v="2"/>
    <n v="80"/>
    <n v="0"/>
    <n v="7"/>
    <n v="2"/>
    <n v="3"/>
    <n v="7"/>
    <n v="7"/>
    <n v="0"/>
    <n v="7"/>
  </r>
  <r>
    <x v="0"/>
    <x v="1"/>
    <x v="0"/>
    <x v="543"/>
    <x v="1"/>
    <n v="6"/>
    <n v="3"/>
    <s v="Medical"/>
    <x v="0"/>
    <n v="957"/>
    <x v="2"/>
    <x v="1"/>
    <n v="59"/>
    <n v="3"/>
    <n v="1"/>
    <s v="Laboratory Technician"/>
    <x v="3"/>
    <s v="Single"/>
    <x v="655"/>
    <n v="3119"/>
    <n v="2"/>
    <x v="0"/>
    <x v="0"/>
    <n v="13"/>
    <n v="3"/>
    <n v="3"/>
    <n v="80"/>
    <n v="0"/>
    <n v="20"/>
    <n v="3"/>
    <n v="3"/>
    <n v="18"/>
    <n v="13"/>
    <n v="2"/>
    <n v="17"/>
  </r>
  <r>
    <x v="9"/>
    <x v="1"/>
    <x v="0"/>
    <x v="544"/>
    <x v="1"/>
    <n v="2"/>
    <n v="4"/>
    <s v="Medical"/>
    <x v="0"/>
    <n v="958"/>
    <x v="1"/>
    <x v="1"/>
    <n v="79"/>
    <n v="3"/>
    <n v="1"/>
    <s v="Laboratory Technician"/>
    <x v="2"/>
    <s v="Single"/>
    <x v="656"/>
    <n v="12287"/>
    <n v="4"/>
    <x v="0"/>
    <x v="1"/>
    <n v="21"/>
    <n v="4"/>
    <n v="3"/>
    <n v="80"/>
    <n v="0"/>
    <n v="16"/>
    <n v="6"/>
    <n v="3"/>
    <n v="11"/>
    <n v="8"/>
    <n v="3"/>
    <n v="9"/>
  </r>
  <r>
    <x v="37"/>
    <x v="0"/>
    <x v="0"/>
    <x v="22"/>
    <x v="0"/>
    <n v="21"/>
    <n v="3"/>
    <s v="Other"/>
    <x v="0"/>
    <n v="959"/>
    <x v="2"/>
    <x v="1"/>
    <n v="37"/>
    <n v="2"/>
    <n v="1"/>
    <s v="Sales Representative"/>
    <x v="1"/>
    <s v="Single"/>
    <x v="657"/>
    <n v="9947"/>
    <n v="1"/>
    <x v="0"/>
    <x v="0"/>
    <n v="13"/>
    <n v="3"/>
    <n v="2"/>
    <n v="80"/>
    <n v="0"/>
    <n v="1"/>
    <n v="3"/>
    <n v="4"/>
    <n v="1"/>
    <n v="0"/>
    <n v="0"/>
    <n v="0"/>
  </r>
  <r>
    <x v="35"/>
    <x v="0"/>
    <x v="0"/>
    <x v="545"/>
    <x v="1"/>
    <n v="4"/>
    <n v="3"/>
    <s v="Technical Degree"/>
    <x v="0"/>
    <n v="960"/>
    <x v="3"/>
    <x v="1"/>
    <n v="84"/>
    <n v="3"/>
    <n v="1"/>
    <s v="Laboratory Technician"/>
    <x v="3"/>
    <s v="Single"/>
    <x v="620"/>
    <n v="13008"/>
    <n v="1"/>
    <x v="0"/>
    <x v="1"/>
    <n v="19"/>
    <n v="3"/>
    <n v="2"/>
    <n v="80"/>
    <n v="0"/>
    <n v="1"/>
    <n v="2"/>
    <n v="3"/>
    <n v="1"/>
    <n v="0"/>
    <n v="0"/>
    <n v="0"/>
  </r>
  <r>
    <x v="12"/>
    <x v="1"/>
    <x v="0"/>
    <x v="546"/>
    <x v="1"/>
    <n v="12"/>
    <n v="3"/>
    <s v="Medical"/>
    <x v="0"/>
    <n v="961"/>
    <x v="2"/>
    <x v="0"/>
    <n v="41"/>
    <n v="3"/>
    <n v="2"/>
    <s v="Healthcare Representative"/>
    <x v="0"/>
    <s v="Married"/>
    <x v="658"/>
    <n v="17369"/>
    <n v="0"/>
    <x v="0"/>
    <x v="0"/>
    <n v="11"/>
    <n v="3"/>
    <n v="3"/>
    <n v="80"/>
    <n v="2"/>
    <n v="10"/>
    <n v="2"/>
    <n v="1"/>
    <n v="9"/>
    <n v="7"/>
    <n v="8"/>
    <n v="5"/>
  </r>
  <r>
    <x v="32"/>
    <x v="1"/>
    <x v="1"/>
    <x v="198"/>
    <x v="1"/>
    <n v="9"/>
    <n v="4"/>
    <s v="Medical"/>
    <x v="0"/>
    <n v="964"/>
    <x v="2"/>
    <x v="1"/>
    <n v="35"/>
    <n v="3"/>
    <n v="1"/>
    <s v="Research Scientist"/>
    <x v="1"/>
    <s v="Divorced"/>
    <x v="659"/>
    <n v="25063"/>
    <n v="8"/>
    <x v="0"/>
    <x v="0"/>
    <n v="14"/>
    <n v="3"/>
    <n v="4"/>
    <n v="80"/>
    <n v="1"/>
    <n v="3"/>
    <n v="2"/>
    <n v="3"/>
    <n v="1"/>
    <n v="1"/>
    <n v="0"/>
    <n v="0"/>
  </r>
  <r>
    <x v="5"/>
    <x v="1"/>
    <x v="0"/>
    <x v="547"/>
    <x v="1"/>
    <n v="3"/>
    <n v="4"/>
    <s v="Medical"/>
    <x v="0"/>
    <n v="966"/>
    <x v="1"/>
    <x v="0"/>
    <n v="93"/>
    <n v="3"/>
    <n v="2"/>
    <s v="Manufacturing Director"/>
    <x v="3"/>
    <s v="Married"/>
    <x v="660"/>
    <n v="13554"/>
    <n v="1"/>
    <x v="0"/>
    <x v="1"/>
    <n v="12"/>
    <n v="3"/>
    <n v="3"/>
    <n v="80"/>
    <n v="1"/>
    <n v="8"/>
    <n v="2"/>
    <n v="4"/>
    <n v="8"/>
    <n v="7"/>
    <n v="6"/>
    <n v="3"/>
  </r>
  <r>
    <x v="9"/>
    <x v="0"/>
    <x v="0"/>
    <x v="89"/>
    <x v="0"/>
    <n v="3"/>
    <n v="1"/>
    <s v="Life Sciences"/>
    <x v="0"/>
    <n v="967"/>
    <x v="1"/>
    <x v="1"/>
    <n v="51"/>
    <n v="2"/>
    <n v="3"/>
    <s v="Sales Executive"/>
    <x v="0"/>
    <s v="Married"/>
    <x v="661"/>
    <n v="5518"/>
    <n v="1"/>
    <x v="0"/>
    <x v="0"/>
    <n v="11"/>
    <n v="3"/>
    <n v="1"/>
    <n v="80"/>
    <n v="1"/>
    <n v="16"/>
    <n v="6"/>
    <n v="3"/>
    <n v="16"/>
    <n v="7"/>
    <n v="3"/>
    <n v="7"/>
  </r>
  <r>
    <x v="3"/>
    <x v="1"/>
    <x v="0"/>
    <x v="176"/>
    <x v="1"/>
    <n v="1"/>
    <n v="3"/>
    <s v="Life Sciences"/>
    <x v="0"/>
    <n v="969"/>
    <x v="0"/>
    <x v="0"/>
    <n v="42"/>
    <n v="2"/>
    <n v="2"/>
    <s v="Healthcare Representative"/>
    <x v="0"/>
    <s v="Single"/>
    <x v="662"/>
    <n v="12291"/>
    <n v="0"/>
    <x v="0"/>
    <x v="1"/>
    <n v="14"/>
    <n v="3"/>
    <n v="1"/>
    <n v="80"/>
    <n v="0"/>
    <n v="6"/>
    <n v="3"/>
    <n v="3"/>
    <n v="5"/>
    <n v="0"/>
    <n v="1"/>
    <n v="4"/>
  </r>
  <r>
    <x v="2"/>
    <x v="0"/>
    <x v="0"/>
    <x v="494"/>
    <x v="0"/>
    <n v="1"/>
    <n v="4"/>
    <s v="Life Sciences"/>
    <x v="0"/>
    <n v="970"/>
    <x v="3"/>
    <x v="1"/>
    <n v="46"/>
    <n v="2"/>
    <n v="3"/>
    <s v="Sales Executive"/>
    <x v="2"/>
    <s v="Married"/>
    <x v="219"/>
    <n v="14922"/>
    <n v="5"/>
    <x v="0"/>
    <x v="1"/>
    <n v="11"/>
    <n v="3"/>
    <n v="3"/>
    <n v="80"/>
    <n v="0"/>
    <n v="17"/>
    <n v="2"/>
    <n v="1"/>
    <n v="14"/>
    <n v="1"/>
    <n v="11"/>
    <n v="7"/>
  </r>
  <r>
    <x v="28"/>
    <x v="1"/>
    <x v="2"/>
    <x v="476"/>
    <x v="1"/>
    <n v="4"/>
    <n v="2"/>
    <s v="Life Sciences"/>
    <x v="0"/>
    <n v="972"/>
    <x v="1"/>
    <x v="1"/>
    <n v="57"/>
    <n v="3"/>
    <n v="2"/>
    <s v="Laboratory Technician"/>
    <x v="1"/>
    <s v="Married"/>
    <x v="663"/>
    <n v="23163"/>
    <n v="1"/>
    <x v="0"/>
    <x v="1"/>
    <n v="12"/>
    <n v="3"/>
    <n v="2"/>
    <n v="80"/>
    <n v="0"/>
    <n v="9"/>
    <n v="5"/>
    <n v="2"/>
    <n v="9"/>
    <n v="7"/>
    <n v="0"/>
    <n v="8"/>
  </r>
  <r>
    <x v="11"/>
    <x v="1"/>
    <x v="1"/>
    <x v="548"/>
    <x v="0"/>
    <n v="20"/>
    <n v="3"/>
    <s v="Technical Degree"/>
    <x v="0"/>
    <n v="974"/>
    <x v="1"/>
    <x v="0"/>
    <n v="84"/>
    <n v="3"/>
    <n v="1"/>
    <s v="Sales Representative"/>
    <x v="0"/>
    <s v="Married"/>
    <x v="664"/>
    <n v="18203"/>
    <n v="1"/>
    <x v="0"/>
    <x v="1"/>
    <n v="15"/>
    <n v="3"/>
    <n v="2"/>
    <n v="80"/>
    <n v="1"/>
    <n v="3"/>
    <n v="5"/>
    <n v="3"/>
    <n v="3"/>
    <n v="1"/>
    <n v="0"/>
    <n v="2"/>
  </r>
  <r>
    <x v="10"/>
    <x v="1"/>
    <x v="0"/>
    <x v="18"/>
    <x v="0"/>
    <n v="18"/>
    <n v="3"/>
    <s v="Medical"/>
    <x v="0"/>
    <n v="975"/>
    <x v="1"/>
    <x v="0"/>
    <n v="86"/>
    <n v="3"/>
    <n v="2"/>
    <s v="Sales Executive"/>
    <x v="2"/>
    <s v="Married"/>
    <x v="665"/>
    <n v="6179"/>
    <n v="1"/>
    <x v="0"/>
    <x v="1"/>
    <n v="16"/>
    <n v="3"/>
    <n v="2"/>
    <n v="80"/>
    <n v="0"/>
    <n v="5"/>
    <n v="3"/>
    <n v="3"/>
    <n v="5"/>
    <n v="2"/>
    <n v="1"/>
    <n v="0"/>
  </r>
  <r>
    <x v="39"/>
    <x v="1"/>
    <x v="0"/>
    <x v="549"/>
    <x v="1"/>
    <n v="1"/>
    <n v="2"/>
    <s v="Life Sciences"/>
    <x v="0"/>
    <n v="976"/>
    <x v="2"/>
    <x v="1"/>
    <n v="70"/>
    <n v="3"/>
    <n v="4"/>
    <s v="Manager"/>
    <x v="0"/>
    <s v="Married"/>
    <x v="666"/>
    <n v="13829"/>
    <n v="2"/>
    <x v="0"/>
    <x v="1"/>
    <n v="15"/>
    <n v="3"/>
    <n v="2"/>
    <n v="80"/>
    <n v="1"/>
    <n v="26"/>
    <n v="2"/>
    <n v="2"/>
    <n v="9"/>
    <n v="8"/>
    <n v="7"/>
    <n v="8"/>
  </r>
  <r>
    <x v="34"/>
    <x v="0"/>
    <x v="0"/>
    <x v="550"/>
    <x v="1"/>
    <n v="2"/>
    <n v="3"/>
    <s v="Technical Degree"/>
    <x v="0"/>
    <n v="977"/>
    <x v="2"/>
    <x v="1"/>
    <n v="51"/>
    <n v="3"/>
    <n v="1"/>
    <s v="Research Scientist"/>
    <x v="2"/>
    <s v="Single"/>
    <x v="667"/>
    <n v="26227"/>
    <n v="4"/>
    <x v="0"/>
    <x v="1"/>
    <n v="24"/>
    <n v="4"/>
    <n v="1"/>
    <n v="80"/>
    <n v="0"/>
    <n v="7"/>
    <n v="4"/>
    <n v="3"/>
    <n v="1"/>
    <n v="0"/>
    <n v="0"/>
    <n v="0"/>
  </r>
  <r>
    <x v="16"/>
    <x v="1"/>
    <x v="0"/>
    <x v="551"/>
    <x v="0"/>
    <n v="2"/>
    <n v="2"/>
    <s v="Medical"/>
    <x v="0"/>
    <n v="981"/>
    <x v="1"/>
    <x v="1"/>
    <n v="45"/>
    <n v="3"/>
    <n v="4"/>
    <s v="Manager"/>
    <x v="2"/>
    <s v="Divorced"/>
    <x v="668"/>
    <n v="13938"/>
    <n v="6"/>
    <x v="0"/>
    <x v="1"/>
    <n v="13"/>
    <n v="3"/>
    <n v="3"/>
    <n v="80"/>
    <n v="1"/>
    <n v="22"/>
    <n v="3"/>
    <n v="4"/>
    <n v="17"/>
    <n v="13"/>
    <n v="15"/>
    <n v="2"/>
  </r>
  <r>
    <x v="7"/>
    <x v="1"/>
    <x v="0"/>
    <x v="552"/>
    <x v="0"/>
    <n v="8"/>
    <n v="2"/>
    <s v="Other"/>
    <x v="0"/>
    <n v="982"/>
    <x v="1"/>
    <x v="1"/>
    <n v="62"/>
    <n v="3"/>
    <n v="3"/>
    <s v="Sales Executive"/>
    <x v="2"/>
    <s v="Divorced"/>
    <x v="669"/>
    <n v="9977"/>
    <n v="5"/>
    <x v="0"/>
    <x v="1"/>
    <n v="11"/>
    <n v="3"/>
    <n v="1"/>
    <n v="80"/>
    <n v="1"/>
    <n v="10"/>
    <n v="2"/>
    <n v="4"/>
    <n v="8"/>
    <n v="4"/>
    <n v="7"/>
    <n v="7"/>
  </r>
  <r>
    <x v="8"/>
    <x v="1"/>
    <x v="2"/>
    <x v="553"/>
    <x v="0"/>
    <n v="10"/>
    <n v="3"/>
    <s v="Technical Degree"/>
    <x v="0"/>
    <n v="983"/>
    <x v="1"/>
    <x v="0"/>
    <n v="85"/>
    <n v="3"/>
    <n v="2"/>
    <s v="Sales Executive"/>
    <x v="0"/>
    <s v="Single"/>
    <x v="670"/>
    <n v="19899"/>
    <n v="1"/>
    <x v="0"/>
    <x v="0"/>
    <n v="13"/>
    <n v="3"/>
    <n v="2"/>
    <n v="80"/>
    <n v="0"/>
    <n v="6"/>
    <n v="1"/>
    <n v="3"/>
    <n v="5"/>
    <n v="3"/>
    <n v="1"/>
    <n v="3"/>
  </r>
  <r>
    <x v="10"/>
    <x v="1"/>
    <x v="0"/>
    <x v="554"/>
    <x v="0"/>
    <n v="3"/>
    <n v="4"/>
    <s v="Life Sciences"/>
    <x v="0"/>
    <n v="984"/>
    <x v="2"/>
    <x v="1"/>
    <n v="92"/>
    <n v="3"/>
    <n v="3"/>
    <s v="Sales Executive"/>
    <x v="0"/>
    <s v="Divorced"/>
    <x v="671"/>
    <n v="6812"/>
    <n v="6"/>
    <x v="0"/>
    <x v="1"/>
    <n v="13"/>
    <n v="3"/>
    <n v="2"/>
    <n v="80"/>
    <n v="1"/>
    <n v="12"/>
    <n v="2"/>
    <n v="3"/>
    <n v="10"/>
    <n v="9"/>
    <n v="0"/>
    <n v="8"/>
  </r>
  <r>
    <x v="22"/>
    <x v="1"/>
    <x v="0"/>
    <x v="555"/>
    <x v="0"/>
    <n v="2"/>
    <n v="5"/>
    <s v="Life Sciences"/>
    <x v="0"/>
    <n v="985"/>
    <x v="3"/>
    <x v="1"/>
    <n v="41"/>
    <n v="4"/>
    <n v="3"/>
    <s v="Sales Executive"/>
    <x v="2"/>
    <s v="Single"/>
    <x v="672"/>
    <n v="2560"/>
    <n v="0"/>
    <x v="0"/>
    <x v="1"/>
    <n v="18"/>
    <n v="3"/>
    <n v="4"/>
    <n v="80"/>
    <n v="0"/>
    <n v="9"/>
    <n v="3"/>
    <n v="3"/>
    <n v="8"/>
    <n v="7"/>
    <n v="0"/>
    <n v="7"/>
  </r>
  <r>
    <x v="32"/>
    <x v="0"/>
    <x v="2"/>
    <x v="252"/>
    <x v="0"/>
    <n v="24"/>
    <n v="3"/>
    <s v="Life Sciences"/>
    <x v="0"/>
    <n v="986"/>
    <x v="0"/>
    <x v="0"/>
    <n v="100"/>
    <n v="4"/>
    <n v="4"/>
    <s v="Sales Executive"/>
    <x v="1"/>
    <s v="Single"/>
    <x v="673"/>
    <n v="17071"/>
    <n v="4"/>
    <x v="0"/>
    <x v="0"/>
    <n v="16"/>
    <n v="3"/>
    <n v="4"/>
    <n v="80"/>
    <n v="0"/>
    <n v="22"/>
    <n v="2"/>
    <n v="2"/>
    <n v="1"/>
    <n v="0"/>
    <n v="0"/>
    <n v="0"/>
  </r>
  <r>
    <x v="40"/>
    <x v="1"/>
    <x v="1"/>
    <x v="556"/>
    <x v="1"/>
    <n v="16"/>
    <n v="4"/>
    <s v="Medical"/>
    <x v="0"/>
    <n v="987"/>
    <x v="1"/>
    <x v="1"/>
    <n v="64"/>
    <n v="4"/>
    <n v="2"/>
    <s v="Manufacturing Director"/>
    <x v="2"/>
    <s v="Divorced"/>
    <x v="674"/>
    <n v="6759"/>
    <n v="1"/>
    <x v="0"/>
    <x v="0"/>
    <n v="19"/>
    <n v="3"/>
    <n v="3"/>
    <n v="80"/>
    <n v="0"/>
    <n v="20"/>
    <n v="3"/>
    <n v="4"/>
    <n v="19"/>
    <n v="10"/>
    <n v="2"/>
    <n v="7"/>
  </r>
  <r>
    <x v="9"/>
    <x v="1"/>
    <x v="2"/>
    <x v="49"/>
    <x v="0"/>
    <n v="8"/>
    <n v="4"/>
    <s v="Technical Degree"/>
    <x v="0"/>
    <n v="990"/>
    <x v="3"/>
    <x v="1"/>
    <n v="84"/>
    <n v="3"/>
    <n v="2"/>
    <s v="Sales Executive"/>
    <x v="0"/>
    <s v="Divorced"/>
    <x v="675"/>
    <n v="25952"/>
    <n v="4"/>
    <x v="0"/>
    <x v="1"/>
    <n v="13"/>
    <n v="3"/>
    <n v="4"/>
    <n v="80"/>
    <n v="2"/>
    <n v="12"/>
    <n v="3"/>
    <n v="3"/>
    <n v="7"/>
    <n v="7"/>
    <n v="0"/>
    <n v="7"/>
  </r>
  <r>
    <x v="12"/>
    <x v="0"/>
    <x v="2"/>
    <x v="557"/>
    <x v="1"/>
    <n v="9"/>
    <n v="2"/>
    <s v="Medical"/>
    <x v="0"/>
    <n v="991"/>
    <x v="1"/>
    <x v="1"/>
    <n v="46"/>
    <n v="2"/>
    <n v="1"/>
    <s v="Research Scientist"/>
    <x v="3"/>
    <s v="Single"/>
    <x v="676"/>
    <n v="10322"/>
    <n v="0"/>
    <x v="0"/>
    <x v="0"/>
    <n v="22"/>
    <n v="4"/>
    <n v="1"/>
    <n v="80"/>
    <n v="0"/>
    <n v="4"/>
    <n v="0"/>
    <n v="3"/>
    <n v="3"/>
    <n v="2"/>
    <n v="1"/>
    <n v="2"/>
  </r>
  <r>
    <x v="3"/>
    <x v="1"/>
    <x v="2"/>
    <x v="558"/>
    <x v="0"/>
    <n v="17"/>
    <n v="3"/>
    <s v="Life Sciences"/>
    <x v="0"/>
    <n v="992"/>
    <x v="2"/>
    <x v="1"/>
    <n v="38"/>
    <n v="3"/>
    <n v="4"/>
    <s v="Manager"/>
    <x v="2"/>
    <s v="Single"/>
    <x v="677"/>
    <n v="20489"/>
    <n v="1"/>
    <x v="0"/>
    <x v="1"/>
    <n v="11"/>
    <n v="3"/>
    <n v="4"/>
    <n v="80"/>
    <n v="0"/>
    <n v="10"/>
    <n v="2"/>
    <n v="3"/>
    <n v="10"/>
    <n v="8"/>
    <n v="6"/>
    <n v="0"/>
  </r>
  <r>
    <x v="11"/>
    <x v="0"/>
    <x v="0"/>
    <x v="277"/>
    <x v="1"/>
    <n v="10"/>
    <n v="3"/>
    <s v="Life Sciences"/>
    <x v="0"/>
    <n v="994"/>
    <x v="2"/>
    <x v="0"/>
    <n v="92"/>
    <n v="2"/>
    <n v="1"/>
    <s v="Research Scientist"/>
    <x v="3"/>
    <s v="Single"/>
    <x v="639"/>
    <n v="11479"/>
    <n v="6"/>
    <x v="0"/>
    <x v="0"/>
    <n v="20"/>
    <n v="4"/>
    <n v="3"/>
    <n v="80"/>
    <n v="0"/>
    <n v="3"/>
    <n v="5"/>
    <n v="3"/>
    <n v="0"/>
    <n v="0"/>
    <n v="0"/>
    <n v="0"/>
  </r>
  <r>
    <x v="3"/>
    <x v="1"/>
    <x v="0"/>
    <x v="559"/>
    <x v="1"/>
    <n v="13"/>
    <n v="1"/>
    <s v="Life Sciences"/>
    <x v="0"/>
    <n v="995"/>
    <x v="0"/>
    <x v="0"/>
    <n v="53"/>
    <n v="3"/>
    <n v="1"/>
    <s v="Research Scientist"/>
    <x v="0"/>
    <s v="Single"/>
    <x v="138"/>
    <n v="17241"/>
    <n v="3"/>
    <x v="0"/>
    <x v="1"/>
    <n v="18"/>
    <n v="3"/>
    <n v="1"/>
    <n v="80"/>
    <n v="0"/>
    <n v="5"/>
    <n v="4"/>
    <n v="3"/>
    <n v="3"/>
    <n v="2"/>
    <n v="0"/>
    <n v="2"/>
  </r>
  <r>
    <x v="28"/>
    <x v="1"/>
    <x v="0"/>
    <x v="560"/>
    <x v="1"/>
    <n v="1"/>
    <n v="4"/>
    <s v="Medical"/>
    <x v="0"/>
    <n v="996"/>
    <x v="2"/>
    <x v="0"/>
    <n v="91"/>
    <n v="3"/>
    <n v="1"/>
    <s v="Laboratory Technician"/>
    <x v="0"/>
    <s v="Divorced"/>
    <x v="678"/>
    <n v="11005"/>
    <n v="3"/>
    <x v="0"/>
    <x v="1"/>
    <n v="14"/>
    <n v="3"/>
    <n v="4"/>
    <n v="80"/>
    <n v="2"/>
    <n v="8"/>
    <n v="2"/>
    <n v="3"/>
    <n v="5"/>
    <n v="3"/>
    <n v="0"/>
    <n v="2"/>
  </r>
  <r>
    <x v="24"/>
    <x v="1"/>
    <x v="0"/>
    <x v="561"/>
    <x v="1"/>
    <n v="1"/>
    <n v="2"/>
    <s v="Medical"/>
    <x v="0"/>
    <n v="997"/>
    <x v="2"/>
    <x v="1"/>
    <n v="66"/>
    <n v="3"/>
    <n v="4"/>
    <s v="Research Director"/>
    <x v="0"/>
    <s v="Divorced"/>
    <x v="679"/>
    <n v="6615"/>
    <n v="9"/>
    <x v="0"/>
    <x v="1"/>
    <n v="22"/>
    <n v="4"/>
    <n v="3"/>
    <n v="80"/>
    <n v="1"/>
    <n v="32"/>
    <n v="1"/>
    <n v="2"/>
    <n v="5"/>
    <n v="4"/>
    <n v="1"/>
    <n v="3"/>
  </r>
  <r>
    <x v="3"/>
    <x v="1"/>
    <x v="1"/>
    <x v="100"/>
    <x v="1"/>
    <n v="1"/>
    <n v="4"/>
    <s v="Other"/>
    <x v="0"/>
    <n v="998"/>
    <x v="1"/>
    <x v="0"/>
    <n v="84"/>
    <n v="4"/>
    <n v="2"/>
    <s v="Healthcare Representative"/>
    <x v="1"/>
    <s v="Married"/>
    <x v="680"/>
    <n v="20161"/>
    <n v="1"/>
    <x v="0"/>
    <x v="0"/>
    <n v="13"/>
    <n v="3"/>
    <n v="1"/>
    <n v="80"/>
    <n v="1"/>
    <n v="6"/>
    <n v="2"/>
    <n v="3"/>
    <n v="6"/>
    <n v="5"/>
    <n v="1"/>
    <n v="2"/>
  </r>
  <r>
    <x v="0"/>
    <x v="1"/>
    <x v="1"/>
    <x v="562"/>
    <x v="1"/>
    <n v="9"/>
    <n v="3"/>
    <s v="Medical"/>
    <x v="0"/>
    <n v="999"/>
    <x v="3"/>
    <x v="1"/>
    <n v="64"/>
    <n v="3"/>
    <n v="5"/>
    <s v="Research Director"/>
    <x v="2"/>
    <s v="Divorced"/>
    <x v="681"/>
    <n v="3735"/>
    <n v="2"/>
    <x v="0"/>
    <x v="1"/>
    <n v="17"/>
    <n v="3"/>
    <n v="2"/>
    <n v="80"/>
    <n v="1"/>
    <n v="21"/>
    <n v="2"/>
    <n v="4"/>
    <n v="18"/>
    <n v="16"/>
    <n v="0"/>
    <n v="11"/>
  </r>
  <r>
    <x v="4"/>
    <x v="1"/>
    <x v="0"/>
    <x v="563"/>
    <x v="1"/>
    <n v="16"/>
    <n v="4"/>
    <s v="Technical Degree"/>
    <x v="0"/>
    <n v="1001"/>
    <x v="1"/>
    <x v="0"/>
    <n v="37"/>
    <n v="3"/>
    <n v="1"/>
    <s v="Laboratory Technician"/>
    <x v="1"/>
    <s v="Married"/>
    <x v="682"/>
    <n v="12086"/>
    <n v="9"/>
    <x v="0"/>
    <x v="1"/>
    <n v="14"/>
    <n v="3"/>
    <n v="2"/>
    <n v="80"/>
    <n v="1"/>
    <n v="4"/>
    <n v="2"/>
    <n v="3"/>
    <n v="2"/>
    <n v="2"/>
    <n v="2"/>
    <n v="2"/>
  </r>
  <r>
    <x v="28"/>
    <x v="1"/>
    <x v="2"/>
    <x v="564"/>
    <x v="1"/>
    <n v="23"/>
    <n v="2"/>
    <s v="Life Sciences"/>
    <x v="0"/>
    <n v="1002"/>
    <x v="2"/>
    <x v="1"/>
    <n v="42"/>
    <n v="3"/>
    <n v="2"/>
    <s v="Laboratory Technician"/>
    <x v="3"/>
    <s v="Married"/>
    <x v="683"/>
    <n v="14039"/>
    <n v="1"/>
    <x v="0"/>
    <x v="0"/>
    <n v="15"/>
    <n v="3"/>
    <n v="3"/>
    <n v="80"/>
    <n v="1"/>
    <n v="9"/>
    <n v="2"/>
    <n v="3"/>
    <n v="9"/>
    <n v="8"/>
    <n v="0"/>
    <n v="8"/>
  </r>
  <r>
    <x v="40"/>
    <x v="1"/>
    <x v="0"/>
    <x v="565"/>
    <x v="0"/>
    <n v="4"/>
    <n v="2"/>
    <s v="Life Sciences"/>
    <x v="0"/>
    <n v="1003"/>
    <x v="2"/>
    <x v="0"/>
    <n v="83"/>
    <n v="3"/>
    <n v="2"/>
    <s v="Sales Executive"/>
    <x v="0"/>
    <s v="Single"/>
    <x v="684"/>
    <n v="8571"/>
    <n v="1"/>
    <x v="0"/>
    <x v="0"/>
    <n v="17"/>
    <n v="3"/>
    <n v="3"/>
    <n v="80"/>
    <n v="0"/>
    <n v="9"/>
    <n v="0"/>
    <n v="3"/>
    <n v="9"/>
    <n v="0"/>
    <n v="0"/>
    <n v="7"/>
  </r>
  <r>
    <x v="7"/>
    <x v="0"/>
    <x v="0"/>
    <x v="182"/>
    <x v="1"/>
    <n v="22"/>
    <n v="3"/>
    <s v="Life Sciences"/>
    <x v="0"/>
    <n v="1004"/>
    <x v="3"/>
    <x v="0"/>
    <n v="48"/>
    <n v="3"/>
    <n v="1"/>
    <s v="Research Scientist"/>
    <x v="2"/>
    <s v="Married"/>
    <x v="685"/>
    <n v="11539"/>
    <n v="4"/>
    <x v="0"/>
    <x v="0"/>
    <n v="11"/>
    <n v="3"/>
    <n v="2"/>
    <n v="80"/>
    <n v="0"/>
    <n v="7"/>
    <n v="2"/>
    <n v="3"/>
    <n v="5"/>
    <n v="2"/>
    <n v="0"/>
    <n v="1"/>
  </r>
  <r>
    <x v="24"/>
    <x v="1"/>
    <x v="0"/>
    <x v="566"/>
    <x v="1"/>
    <n v="24"/>
    <n v="3"/>
    <s v="Life Sciences"/>
    <x v="0"/>
    <n v="1005"/>
    <x v="2"/>
    <x v="1"/>
    <n v="95"/>
    <n v="3"/>
    <n v="4"/>
    <s v="Manufacturing Director"/>
    <x v="2"/>
    <s v="Married"/>
    <x v="686"/>
    <n v="4161"/>
    <n v="3"/>
    <x v="0"/>
    <x v="0"/>
    <n v="18"/>
    <n v="3"/>
    <n v="4"/>
    <n v="80"/>
    <n v="1"/>
    <n v="22"/>
    <n v="2"/>
    <n v="3"/>
    <n v="12"/>
    <n v="11"/>
    <n v="1"/>
    <n v="5"/>
  </r>
  <r>
    <x v="8"/>
    <x v="1"/>
    <x v="1"/>
    <x v="567"/>
    <x v="1"/>
    <n v="10"/>
    <n v="1"/>
    <s v="Medical"/>
    <x v="0"/>
    <n v="1006"/>
    <x v="1"/>
    <x v="1"/>
    <n v="66"/>
    <n v="3"/>
    <n v="1"/>
    <s v="Research Scientist"/>
    <x v="2"/>
    <s v="Married"/>
    <x v="687"/>
    <n v="12127"/>
    <n v="0"/>
    <x v="0"/>
    <x v="1"/>
    <n v="17"/>
    <n v="3"/>
    <n v="2"/>
    <n v="80"/>
    <n v="1"/>
    <n v="3"/>
    <n v="0"/>
    <n v="2"/>
    <n v="2"/>
    <n v="1"/>
    <n v="0"/>
    <n v="2"/>
  </r>
  <r>
    <x v="21"/>
    <x v="1"/>
    <x v="0"/>
    <x v="270"/>
    <x v="1"/>
    <n v="7"/>
    <n v="2"/>
    <s v="Medical"/>
    <x v="0"/>
    <n v="1007"/>
    <x v="2"/>
    <x v="1"/>
    <n v="75"/>
    <n v="3"/>
    <n v="3"/>
    <s v="Manufacturing Director"/>
    <x v="2"/>
    <s v="Divorced"/>
    <x v="688"/>
    <n v="24208"/>
    <n v="6"/>
    <x v="0"/>
    <x v="1"/>
    <n v="13"/>
    <n v="3"/>
    <n v="2"/>
    <n v="80"/>
    <n v="1"/>
    <n v="13"/>
    <n v="3"/>
    <n v="3"/>
    <n v="8"/>
    <n v="7"/>
    <n v="0"/>
    <n v="7"/>
  </r>
  <r>
    <x v="17"/>
    <x v="1"/>
    <x v="0"/>
    <x v="568"/>
    <x v="1"/>
    <n v="17"/>
    <n v="1"/>
    <s v="Medical"/>
    <x v="0"/>
    <n v="1009"/>
    <x v="2"/>
    <x v="0"/>
    <n v="41"/>
    <n v="2"/>
    <n v="2"/>
    <s v="Manufacturing Director"/>
    <x v="2"/>
    <s v="Divorced"/>
    <x v="689"/>
    <n v="24117"/>
    <n v="1"/>
    <x v="0"/>
    <x v="1"/>
    <n v="15"/>
    <n v="3"/>
    <n v="2"/>
    <n v="80"/>
    <n v="2"/>
    <n v="5"/>
    <n v="6"/>
    <n v="3"/>
    <n v="4"/>
    <n v="2"/>
    <n v="3"/>
    <n v="2"/>
  </r>
  <r>
    <x v="10"/>
    <x v="0"/>
    <x v="0"/>
    <x v="399"/>
    <x v="1"/>
    <n v="14"/>
    <n v="4"/>
    <s v="Other"/>
    <x v="0"/>
    <n v="1010"/>
    <x v="1"/>
    <x v="1"/>
    <n v="39"/>
    <n v="2"/>
    <n v="1"/>
    <s v="Laboratory Technician"/>
    <x v="1"/>
    <s v="Divorced"/>
    <x v="690"/>
    <n v="10074"/>
    <n v="1"/>
    <x v="0"/>
    <x v="0"/>
    <n v="24"/>
    <n v="4"/>
    <n v="4"/>
    <n v="80"/>
    <n v="1"/>
    <n v="5"/>
    <n v="2"/>
    <n v="1"/>
    <n v="4"/>
    <n v="2"/>
    <n v="0"/>
    <n v="2"/>
  </r>
  <r>
    <x v="12"/>
    <x v="1"/>
    <x v="1"/>
    <x v="56"/>
    <x v="1"/>
    <n v="1"/>
    <n v="1"/>
    <s v="Life Sciences"/>
    <x v="0"/>
    <n v="1011"/>
    <x v="1"/>
    <x v="0"/>
    <n v="96"/>
    <n v="3"/>
    <n v="2"/>
    <s v="Manufacturing Director"/>
    <x v="3"/>
    <s v="Married"/>
    <x v="691"/>
    <n v="11275"/>
    <n v="1"/>
    <x v="0"/>
    <x v="1"/>
    <n v="12"/>
    <n v="3"/>
    <n v="3"/>
    <n v="80"/>
    <n v="1"/>
    <n v="4"/>
    <n v="1"/>
    <n v="3"/>
    <n v="4"/>
    <n v="3"/>
    <n v="0"/>
    <n v="3"/>
  </r>
  <r>
    <x v="41"/>
    <x v="1"/>
    <x v="2"/>
    <x v="569"/>
    <x v="1"/>
    <n v="5"/>
    <n v="2"/>
    <s v="Life Sciences"/>
    <x v="0"/>
    <n v="1012"/>
    <x v="0"/>
    <x v="1"/>
    <n v="73"/>
    <n v="3"/>
    <n v="1"/>
    <s v="Research Scientist"/>
    <x v="0"/>
    <s v="Single"/>
    <x v="692"/>
    <n v="13493"/>
    <n v="1"/>
    <x v="0"/>
    <x v="1"/>
    <n v="15"/>
    <n v="3"/>
    <n v="4"/>
    <n v="80"/>
    <n v="0"/>
    <n v="0"/>
    <n v="2"/>
    <n v="3"/>
    <n v="0"/>
    <n v="0"/>
    <n v="0"/>
    <n v="0"/>
  </r>
  <r>
    <x v="33"/>
    <x v="1"/>
    <x v="0"/>
    <x v="570"/>
    <x v="1"/>
    <n v="17"/>
    <n v="3"/>
    <s v="Technical Degree"/>
    <x v="0"/>
    <n v="1013"/>
    <x v="1"/>
    <x v="0"/>
    <n v="56"/>
    <n v="3"/>
    <n v="3"/>
    <s v="Manufacturing Director"/>
    <x v="2"/>
    <s v="Married"/>
    <x v="693"/>
    <n v="13943"/>
    <n v="8"/>
    <x v="0"/>
    <x v="1"/>
    <n v="11"/>
    <n v="3"/>
    <n v="3"/>
    <n v="80"/>
    <n v="1"/>
    <n v="22"/>
    <n v="2"/>
    <n v="3"/>
    <n v="10"/>
    <n v="7"/>
    <n v="0"/>
    <n v="8"/>
  </r>
  <r>
    <x v="10"/>
    <x v="1"/>
    <x v="0"/>
    <x v="507"/>
    <x v="1"/>
    <n v="25"/>
    <n v="4"/>
    <s v="Medical"/>
    <x v="0"/>
    <n v="1014"/>
    <x v="1"/>
    <x v="0"/>
    <n v="57"/>
    <n v="3"/>
    <n v="3"/>
    <s v="Healthcare Representative"/>
    <x v="2"/>
    <s v="Divorced"/>
    <x v="694"/>
    <n v="6975"/>
    <n v="1"/>
    <x v="0"/>
    <x v="0"/>
    <n v="11"/>
    <n v="3"/>
    <n v="3"/>
    <n v="80"/>
    <n v="1"/>
    <n v="16"/>
    <n v="3"/>
    <n v="2"/>
    <n v="16"/>
    <n v="10"/>
    <n v="10"/>
    <n v="1"/>
  </r>
  <r>
    <x v="7"/>
    <x v="1"/>
    <x v="0"/>
    <x v="11"/>
    <x v="1"/>
    <n v="8"/>
    <n v="2"/>
    <s v="Life Sciences"/>
    <x v="0"/>
    <n v="1015"/>
    <x v="0"/>
    <x v="0"/>
    <n v="73"/>
    <n v="4"/>
    <n v="3"/>
    <s v="Research Director"/>
    <x v="3"/>
    <s v="Married"/>
    <x v="695"/>
    <n v="17802"/>
    <n v="0"/>
    <x v="0"/>
    <x v="0"/>
    <n v="12"/>
    <n v="3"/>
    <n v="3"/>
    <n v="80"/>
    <n v="3"/>
    <n v="9"/>
    <n v="4"/>
    <n v="2"/>
    <n v="8"/>
    <n v="7"/>
    <n v="1"/>
    <n v="7"/>
  </r>
  <r>
    <x v="35"/>
    <x v="0"/>
    <x v="0"/>
    <x v="53"/>
    <x v="1"/>
    <n v="11"/>
    <n v="3"/>
    <s v="Medical"/>
    <x v="0"/>
    <n v="1016"/>
    <x v="2"/>
    <x v="0"/>
    <n v="98"/>
    <n v="2"/>
    <n v="1"/>
    <s v="Research Scientist"/>
    <x v="3"/>
    <s v="Single"/>
    <x v="696"/>
    <n v="18275"/>
    <n v="1"/>
    <x v="0"/>
    <x v="0"/>
    <n v="15"/>
    <n v="3"/>
    <n v="1"/>
    <n v="80"/>
    <n v="0"/>
    <n v="1"/>
    <n v="2"/>
    <n v="3"/>
    <n v="1"/>
    <n v="0"/>
    <n v="0"/>
    <n v="0"/>
  </r>
  <r>
    <x v="7"/>
    <x v="0"/>
    <x v="1"/>
    <x v="571"/>
    <x v="1"/>
    <n v="5"/>
    <n v="3"/>
    <s v="Medical"/>
    <x v="0"/>
    <n v="1017"/>
    <x v="0"/>
    <x v="0"/>
    <n v="60"/>
    <n v="3"/>
    <n v="1"/>
    <s v="Laboratory Technician"/>
    <x v="1"/>
    <s v="Single"/>
    <x v="697"/>
    <n v="25725"/>
    <n v="0"/>
    <x v="0"/>
    <x v="1"/>
    <n v="17"/>
    <n v="3"/>
    <n v="1"/>
    <n v="80"/>
    <n v="0"/>
    <n v="4"/>
    <n v="3"/>
    <n v="3"/>
    <n v="3"/>
    <n v="2"/>
    <n v="1"/>
    <n v="2"/>
  </r>
  <r>
    <x v="25"/>
    <x v="1"/>
    <x v="0"/>
    <x v="572"/>
    <x v="1"/>
    <n v="2"/>
    <n v="2"/>
    <s v="Medical"/>
    <x v="0"/>
    <n v="1018"/>
    <x v="2"/>
    <x v="1"/>
    <n v="32"/>
    <n v="4"/>
    <n v="2"/>
    <s v="Manufacturing Director"/>
    <x v="0"/>
    <s v="Married"/>
    <x v="698"/>
    <n v="3334"/>
    <n v="1"/>
    <x v="0"/>
    <x v="1"/>
    <n v="12"/>
    <n v="3"/>
    <n v="2"/>
    <n v="80"/>
    <n v="0"/>
    <n v="8"/>
    <n v="2"/>
    <n v="3"/>
    <n v="8"/>
    <n v="7"/>
    <n v="1"/>
    <n v="3"/>
  </r>
  <r>
    <x v="15"/>
    <x v="1"/>
    <x v="0"/>
    <x v="446"/>
    <x v="1"/>
    <n v="8"/>
    <n v="1"/>
    <s v="Life Sciences"/>
    <x v="0"/>
    <n v="1019"/>
    <x v="0"/>
    <x v="1"/>
    <n v="94"/>
    <n v="1"/>
    <n v="1"/>
    <s v="Laboratory Technician"/>
    <x v="3"/>
    <s v="Married"/>
    <x v="163"/>
    <n v="6881"/>
    <n v="1"/>
    <x v="0"/>
    <x v="1"/>
    <n v="15"/>
    <n v="3"/>
    <n v="1"/>
    <n v="80"/>
    <n v="1"/>
    <n v="4"/>
    <n v="3"/>
    <n v="2"/>
    <n v="4"/>
    <n v="3"/>
    <n v="1"/>
    <n v="1"/>
  </r>
  <r>
    <x v="26"/>
    <x v="1"/>
    <x v="0"/>
    <x v="573"/>
    <x v="1"/>
    <n v="6"/>
    <n v="3"/>
    <s v="Life Sciences"/>
    <x v="0"/>
    <n v="1022"/>
    <x v="3"/>
    <x v="1"/>
    <n v="97"/>
    <n v="2"/>
    <n v="2"/>
    <s v="Healthcare Representative"/>
    <x v="2"/>
    <s v="Single"/>
    <x v="699"/>
    <n v="13119"/>
    <n v="2"/>
    <x v="0"/>
    <x v="1"/>
    <n v="13"/>
    <n v="3"/>
    <n v="4"/>
    <n v="80"/>
    <n v="0"/>
    <n v="19"/>
    <n v="0"/>
    <n v="3"/>
    <n v="2"/>
    <n v="2"/>
    <n v="2"/>
    <n v="2"/>
  </r>
  <r>
    <x v="26"/>
    <x v="1"/>
    <x v="0"/>
    <x v="131"/>
    <x v="1"/>
    <n v="4"/>
    <n v="4"/>
    <s v="Life Sciences"/>
    <x v="0"/>
    <n v="1024"/>
    <x v="1"/>
    <x v="1"/>
    <n v="78"/>
    <n v="2"/>
    <n v="3"/>
    <s v="Healthcare Representative"/>
    <x v="2"/>
    <s v="Single"/>
    <x v="700"/>
    <n v="22245"/>
    <n v="7"/>
    <x v="0"/>
    <x v="1"/>
    <n v="14"/>
    <n v="3"/>
    <n v="2"/>
    <n v="80"/>
    <n v="0"/>
    <n v="27"/>
    <n v="3"/>
    <n v="3"/>
    <n v="15"/>
    <n v="11"/>
    <n v="4"/>
    <n v="8"/>
  </r>
  <r>
    <x v="0"/>
    <x v="1"/>
    <x v="0"/>
    <x v="302"/>
    <x v="1"/>
    <n v="7"/>
    <n v="2"/>
    <s v="Medical"/>
    <x v="0"/>
    <n v="1025"/>
    <x v="2"/>
    <x v="0"/>
    <n v="42"/>
    <n v="3"/>
    <n v="2"/>
    <s v="Manufacturing Director"/>
    <x v="2"/>
    <s v="Single"/>
    <x v="701"/>
    <n v="23371"/>
    <n v="6"/>
    <x v="0"/>
    <x v="1"/>
    <n v="14"/>
    <n v="3"/>
    <n v="2"/>
    <n v="80"/>
    <n v="0"/>
    <n v="8"/>
    <n v="6"/>
    <n v="3"/>
    <n v="2"/>
    <n v="2"/>
    <n v="2"/>
    <n v="1"/>
  </r>
  <r>
    <x v="22"/>
    <x v="1"/>
    <x v="0"/>
    <x v="574"/>
    <x v="1"/>
    <n v="1"/>
    <n v="1"/>
    <s v="Life Sciences"/>
    <x v="0"/>
    <n v="1026"/>
    <x v="2"/>
    <x v="0"/>
    <n v="65"/>
    <n v="2"/>
    <n v="4"/>
    <s v="Manufacturing Director"/>
    <x v="0"/>
    <s v="Married"/>
    <x v="702"/>
    <n v="7060"/>
    <n v="1"/>
    <x v="0"/>
    <x v="1"/>
    <n v="16"/>
    <n v="3"/>
    <n v="3"/>
    <n v="80"/>
    <n v="1"/>
    <n v="21"/>
    <n v="3"/>
    <n v="3"/>
    <n v="21"/>
    <n v="6"/>
    <n v="11"/>
    <n v="8"/>
  </r>
  <r>
    <x v="4"/>
    <x v="1"/>
    <x v="0"/>
    <x v="575"/>
    <x v="1"/>
    <n v="2"/>
    <n v="4"/>
    <s v="Life Sciences"/>
    <x v="0"/>
    <n v="1027"/>
    <x v="3"/>
    <x v="0"/>
    <n v="47"/>
    <n v="3"/>
    <n v="2"/>
    <s v="Manufacturing Director"/>
    <x v="0"/>
    <s v="Married"/>
    <x v="703"/>
    <n v="4658"/>
    <n v="0"/>
    <x v="0"/>
    <x v="1"/>
    <n v="18"/>
    <n v="3"/>
    <n v="2"/>
    <n v="80"/>
    <n v="1"/>
    <n v="4"/>
    <n v="2"/>
    <n v="3"/>
    <n v="3"/>
    <n v="2"/>
    <n v="2"/>
    <n v="2"/>
  </r>
  <r>
    <x v="10"/>
    <x v="1"/>
    <x v="0"/>
    <x v="130"/>
    <x v="1"/>
    <n v="10"/>
    <n v="3"/>
    <s v="Other"/>
    <x v="0"/>
    <n v="1028"/>
    <x v="0"/>
    <x v="1"/>
    <n v="45"/>
    <n v="3"/>
    <n v="1"/>
    <s v="Laboratory Technician"/>
    <x v="0"/>
    <s v="Divorced"/>
    <x v="704"/>
    <n v="9541"/>
    <n v="1"/>
    <x v="0"/>
    <x v="1"/>
    <n v="20"/>
    <n v="4"/>
    <n v="1"/>
    <n v="80"/>
    <n v="1"/>
    <n v="3"/>
    <n v="4"/>
    <n v="2"/>
    <n v="3"/>
    <n v="2"/>
    <n v="1"/>
    <n v="2"/>
  </r>
  <r>
    <x v="19"/>
    <x v="1"/>
    <x v="0"/>
    <x v="576"/>
    <x v="0"/>
    <n v="5"/>
    <n v="2"/>
    <s v="Marketing"/>
    <x v="0"/>
    <n v="1029"/>
    <x v="2"/>
    <x v="1"/>
    <n v="90"/>
    <n v="3"/>
    <n v="5"/>
    <s v="Manager"/>
    <x v="2"/>
    <s v="Married"/>
    <x v="705"/>
    <n v="7770"/>
    <n v="6"/>
    <x v="0"/>
    <x v="1"/>
    <n v="13"/>
    <n v="3"/>
    <n v="2"/>
    <n v="80"/>
    <n v="0"/>
    <n v="21"/>
    <n v="3"/>
    <n v="4"/>
    <n v="1"/>
    <n v="0"/>
    <n v="0"/>
    <n v="0"/>
  </r>
  <r>
    <x v="24"/>
    <x v="1"/>
    <x v="0"/>
    <x v="450"/>
    <x v="1"/>
    <n v="9"/>
    <n v="3"/>
    <s v="Life Sciences"/>
    <x v="0"/>
    <n v="1030"/>
    <x v="3"/>
    <x v="1"/>
    <n v="64"/>
    <n v="3"/>
    <n v="1"/>
    <s v="Laboratory Technician"/>
    <x v="0"/>
    <s v="Married"/>
    <x v="631"/>
    <n v="20165"/>
    <n v="4"/>
    <x v="0"/>
    <x v="1"/>
    <n v="18"/>
    <n v="3"/>
    <n v="2"/>
    <n v="80"/>
    <n v="0"/>
    <n v="8"/>
    <n v="5"/>
    <n v="3"/>
    <n v="1"/>
    <n v="0"/>
    <n v="0"/>
    <n v="0"/>
  </r>
  <r>
    <x v="6"/>
    <x v="1"/>
    <x v="0"/>
    <x v="464"/>
    <x v="1"/>
    <n v="2"/>
    <n v="3"/>
    <s v="Life Sciences"/>
    <x v="0"/>
    <n v="1032"/>
    <x v="1"/>
    <x v="0"/>
    <n v="69"/>
    <n v="2"/>
    <n v="4"/>
    <s v="Manufacturing Director"/>
    <x v="0"/>
    <s v="Single"/>
    <x v="706"/>
    <n v="21829"/>
    <n v="3"/>
    <x v="0"/>
    <x v="0"/>
    <n v="13"/>
    <n v="3"/>
    <n v="1"/>
    <n v="80"/>
    <n v="0"/>
    <n v="30"/>
    <n v="4"/>
    <n v="3"/>
    <n v="5"/>
    <n v="3"/>
    <n v="4"/>
    <n v="3"/>
  </r>
  <r>
    <x v="2"/>
    <x v="0"/>
    <x v="0"/>
    <x v="39"/>
    <x v="1"/>
    <n v="11"/>
    <n v="2"/>
    <s v="Medical"/>
    <x v="0"/>
    <n v="1033"/>
    <x v="3"/>
    <x v="0"/>
    <n v="61"/>
    <n v="1"/>
    <n v="2"/>
    <s v="Healthcare Representative"/>
    <x v="1"/>
    <s v="Married"/>
    <x v="707"/>
    <n v="14382"/>
    <n v="5"/>
    <x v="0"/>
    <x v="1"/>
    <n v="15"/>
    <n v="3"/>
    <n v="1"/>
    <n v="80"/>
    <n v="0"/>
    <n v="15"/>
    <n v="2"/>
    <n v="1"/>
    <n v="1"/>
    <n v="0"/>
    <n v="0"/>
    <n v="0"/>
  </r>
  <r>
    <x v="27"/>
    <x v="1"/>
    <x v="1"/>
    <x v="577"/>
    <x v="1"/>
    <n v="18"/>
    <n v="4"/>
    <s v="Medical"/>
    <x v="0"/>
    <n v="1034"/>
    <x v="1"/>
    <x v="1"/>
    <n v="62"/>
    <n v="3"/>
    <n v="2"/>
    <s v="Healthcare Representative"/>
    <x v="1"/>
    <s v="Married"/>
    <x v="708"/>
    <n v="12992"/>
    <n v="3"/>
    <x v="0"/>
    <x v="0"/>
    <n v="14"/>
    <n v="3"/>
    <n v="4"/>
    <n v="80"/>
    <n v="2"/>
    <n v="17"/>
    <n v="3"/>
    <n v="3"/>
    <n v="8"/>
    <n v="7"/>
    <n v="6"/>
    <n v="7"/>
  </r>
  <r>
    <x v="0"/>
    <x v="1"/>
    <x v="2"/>
    <x v="578"/>
    <x v="1"/>
    <n v="7"/>
    <n v="1"/>
    <s v="Life Sciences"/>
    <x v="0"/>
    <n v="1035"/>
    <x v="0"/>
    <x v="0"/>
    <n v="55"/>
    <n v="1"/>
    <n v="5"/>
    <s v="Research Director"/>
    <x v="2"/>
    <s v="Divorced"/>
    <x v="709"/>
    <n v="20284"/>
    <n v="1"/>
    <x v="0"/>
    <x v="1"/>
    <n v="22"/>
    <n v="4"/>
    <n v="2"/>
    <n v="80"/>
    <n v="2"/>
    <n v="21"/>
    <n v="3"/>
    <n v="3"/>
    <n v="21"/>
    <n v="16"/>
    <n v="5"/>
    <n v="10"/>
  </r>
  <r>
    <x v="8"/>
    <x v="1"/>
    <x v="0"/>
    <x v="579"/>
    <x v="0"/>
    <n v="3"/>
    <n v="4"/>
    <s v="Life Sciences"/>
    <x v="0"/>
    <n v="1036"/>
    <x v="0"/>
    <x v="1"/>
    <n v="42"/>
    <n v="3"/>
    <n v="2"/>
    <s v="Sales Executive"/>
    <x v="0"/>
    <s v="Single"/>
    <x v="710"/>
    <n v="4981"/>
    <n v="8"/>
    <x v="0"/>
    <x v="0"/>
    <n v="12"/>
    <n v="3"/>
    <n v="3"/>
    <n v="80"/>
    <n v="0"/>
    <n v="19"/>
    <n v="1"/>
    <n v="3"/>
    <n v="1"/>
    <n v="0"/>
    <n v="0"/>
    <n v="0"/>
  </r>
  <r>
    <x v="25"/>
    <x v="0"/>
    <x v="2"/>
    <x v="576"/>
    <x v="0"/>
    <n v="29"/>
    <n v="2"/>
    <s v="Medical"/>
    <x v="0"/>
    <n v="1037"/>
    <x v="0"/>
    <x v="1"/>
    <n v="79"/>
    <n v="1"/>
    <n v="2"/>
    <s v="Sales Executive"/>
    <x v="3"/>
    <s v="Single"/>
    <x v="711"/>
    <n v="21813"/>
    <n v="8"/>
    <x v="0"/>
    <x v="1"/>
    <n v="18"/>
    <n v="3"/>
    <n v="4"/>
    <n v="80"/>
    <n v="0"/>
    <n v="7"/>
    <n v="6"/>
    <n v="3"/>
    <n v="2"/>
    <n v="2"/>
    <n v="2"/>
    <n v="2"/>
  </r>
  <r>
    <x v="39"/>
    <x v="0"/>
    <x v="0"/>
    <x v="580"/>
    <x v="0"/>
    <n v="2"/>
    <n v="1"/>
    <s v="Marketing"/>
    <x v="0"/>
    <n v="1038"/>
    <x v="3"/>
    <x v="0"/>
    <n v="57"/>
    <n v="1"/>
    <n v="5"/>
    <s v="Manager"/>
    <x v="0"/>
    <s v="Married"/>
    <x v="712"/>
    <n v="25846"/>
    <n v="1"/>
    <x v="0"/>
    <x v="1"/>
    <n v="15"/>
    <n v="3"/>
    <n v="4"/>
    <n v="80"/>
    <n v="1"/>
    <n v="33"/>
    <n v="3"/>
    <n v="3"/>
    <n v="32"/>
    <n v="14"/>
    <n v="6"/>
    <n v="9"/>
  </r>
  <r>
    <x v="20"/>
    <x v="1"/>
    <x v="0"/>
    <x v="356"/>
    <x v="0"/>
    <n v="28"/>
    <n v="3"/>
    <s v="Medical"/>
    <x v="0"/>
    <n v="1039"/>
    <x v="2"/>
    <x v="0"/>
    <n v="53"/>
    <n v="4"/>
    <n v="4"/>
    <s v="Sales Executive"/>
    <x v="0"/>
    <s v="Married"/>
    <x v="713"/>
    <n v="11737"/>
    <n v="3"/>
    <x v="0"/>
    <x v="0"/>
    <n v="18"/>
    <n v="3"/>
    <n v="3"/>
    <n v="80"/>
    <n v="1"/>
    <n v="23"/>
    <n v="2"/>
    <n v="3"/>
    <n v="12"/>
    <n v="11"/>
    <n v="11"/>
    <n v="11"/>
  </r>
  <r>
    <x v="24"/>
    <x v="1"/>
    <x v="2"/>
    <x v="581"/>
    <x v="0"/>
    <n v="1"/>
    <n v="3"/>
    <s v="Life Sciences"/>
    <x v="0"/>
    <n v="1040"/>
    <x v="2"/>
    <x v="0"/>
    <n v="95"/>
    <n v="3"/>
    <n v="2"/>
    <s v="Sales Executive"/>
    <x v="2"/>
    <s v="Married"/>
    <x v="136"/>
    <n v="24920"/>
    <n v="0"/>
    <x v="0"/>
    <x v="1"/>
    <n v="12"/>
    <n v="3"/>
    <n v="1"/>
    <n v="80"/>
    <n v="1"/>
    <n v="19"/>
    <n v="3"/>
    <n v="3"/>
    <n v="18"/>
    <n v="7"/>
    <n v="0"/>
    <n v="13"/>
  </r>
  <r>
    <x v="9"/>
    <x v="0"/>
    <x v="0"/>
    <x v="426"/>
    <x v="1"/>
    <n v="16"/>
    <n v="4"/>
    <s v="Life Sciences"/>
    <x v="0"/>
    <n v="1042"/>
    <x v="1"/>
    <x v="0"/>
    <n v="43"/>
    <n v="4"/>
    <n v="1"/>
    <s v="Laboratory Technician"/>
    <x v="3"/>
    <s v="Single"/>
    <x v="714"/>
    <n v="8269"/>
    <n v="1"/>
    <x v="0"/>
    <x v="1"/>
    <n v="16"/>
    <n v="3"/>
    <n v="3"/>
    <n v="80"/>
    <n v="0"/>
    <n v="18"/>
    <n v="1"/>
    <n v="3"/>
    <n v="17"/>
    <n v="13"/>
    <n v="15"/>
    <n v="14"/>
  </r>
  <r>
    <x v="22"/>
    <x v="1"/>
    <x v="1"/>
    <x v="79"/>
    <x v="1"/>
    <n v="22"/>
    <n v="3"/>
    <s v="Medical"/>
    <x v="0"/>
    <n v="1043"/>
    <x v="2"/>
    <x v="0"/>
    <n v="82"/>
    <n v="3"/>
    <n v="3"/>
    <s v="Manufacturing Director"/>
    <x v="3"/>
    <s v="Single"/>
    <x v="715"/>
    <n v="5083"/>
    <n v="1"/>
    <x v="0"/>
    <x v="0"/>
    <n v="13"/>
    <n v="3"/>
    <n v="3"/>
    <n v="80"/>
    <n v="0"/>
    <n v="21"/>
    <n v="2"/>
    <n v="3"/>
    <n v="21"/>
    <n v="6"/>
    <n v="2"/>
    <n v="8"/>
  </r>
  <r>
    <x v="3"/>
    <x v="1"/>
    <x v="2"/>
    <x v="582"/>
    <x v="0"/>
    <n v="8"/>
    <n v="1"/>
    <s v="Life Sciences"/>
    <x v="0"/>
    <n v="1044"/>
    <x v="0"/>
    <x v="0"/>
    <n v="88"/>
    <n v="2"/>
    <n v="1"/>
    <s v="Sales Representative"/>
    <x v="0"/>
    <s v="Single"/>
    <x v="531"/>
    <n v="21437"/>
    <n v="0"/>
    <x v="0"/>
    <x v="1"/>
    <n v="19"/>
    <n v="3"/>
    <n v="4"/>
    <n v="80"/>
    <n v="0"/>
    <n v="3"/>
    <n v="2"/>
    <n v="2"/>
    <n v="2"/>
    <n v="2"/>
    <n v="2"/>
    <n v="2"/>
  </r>
  <r>
    <x v="28"/>
    <x v="1"/>
    <x v="0"/>
    <x v="583"/>
    <x v="0"/>
    <n v="11"/>
    <n v="2"/>
    <s v="Life Sciences"/>
    <x v="0"/>
    <n v="1045"/>
    <x v="2"/>
    <x v="0"/>
    <n v="90"/>
    <n v="3"/>
    <n v="4"/>
    <s v="Manager"/>
    <x v="0"/>
    <s v="Married"/>
    <x v="716"/>
    <n v="5404"/>
    <n v="3"/>
    <x v="0"/>
    <x v="1"/>
    <n v="13"/>
    <n v="3"/>
    <n v="2"/>
    <n v="80"/>
    <n v="1"/>
    <n v="26"/>
    <n v="4"/>
    <n v="4"/>
    <n v="9"/>
    <n v="3"/>
    <n v="1"/>
    <n v="1"/>
  </r>
  <r>
    <x v="5"/>
    <x v="1"/>
    <x v="2"/>
    <x v="584"/>
    <x v="1"/>
    <n v="29"/>
    <n v="4"/>
    <s v="Medical"/>
    <x v="0"/>
    <n v="1046"/>
    <x v="2"/>
    <x v="0"/>
    <n v="69"/>
    <n v="3"/>
    <n v="1"/>
    <s v="Laboratory Technician"/>
    <x v="2"/>
    <s v="Single"/>
    <x v="717"/>
    <n v="11135"/>
    <n v="9"/>
    <x v="0"/>
    <x v="1"/>
    <n v="12"/>
    <n v="3"/>
    <n v="2"/>
    <n v="80"/>
    <n v="0"/>
    <n v="10"/>
    <n v="2"/>
    <n v="3"/>
    <n v="8"/>
    <n v="7"/>
    <n v="7"/>
    <n v="7"/>
  </r>
  <r>
    <x v="13"/>
    <x v="1"/>
    <x v="0"/>
    <x v="8"/>
    <x v="0"/>
    <n v="1"/>
    <n v="4"/>
    <s v="Marketing"/>
    <x v="0"/>
    <n v="1047"/>
    <x v="0"/>
    <x v="1"/>
    <n v="75"/>
    <n v="4"/>
    <n v="2"/>
    <s v="Sales Executive"/>
    <x v="0"/>
    <s v="Divorced"/>
    <x v="718"/>
    <n v="12278"/>
    <n v="0"/>
    <x v="0"/>
    <x v="1"/>
    <n v="11"/>
    <n v="3"/>
    <n v="4"/>
    <n v="80"/>
    <n v="1"/>
    <n v="16"/>
    <n v="2"/>
    <n v="2"/>
    <n v="15"/>
    <n v="1"/>
    <n v="0"/>
    <n v="9"/>
  </r>
  <r>
    <x v="6"/>
    <x v="1"/>
    <x v="0"/>
    <x v="585"/>
    <x v="0"/>
    <n v="1"/>
    <n v="2"/>
    <s v="Technical Degree"/>
    <x v="0"/>
    <n v="1048"/>
    <x v="0"/>
    <x v="1"/>
    <n v="66"/>
    <n v="3"/>
    <n v="3"/>
    <s v="Manager"/>
    <x v="0"/>
    <s v="Married"/>
    <x v="719"/>
    <n v="11038"/>
    <n v="3"/>
    <x v="0"/>
    <x v="0"/>
    <n v="14"/>
    <n v="3"/>
    <n v="3"/>
    <n v="80"/>
    <n v="1"/>
    <n v="14"/>
    <n v="1"/>
    <n v="1"/>
    <n v="6"/>
    <n v="4"/>
    <n v="0"/>
    <n v="4"/>
  </r>
  <r>
    <x v="28"/>
    <x v="1"/>
    <x v="0"/>
    <x v="586"/>
    <x v="2"/>
    <n v="24"/>
    <n v="4"/>
    <s v="Medical"/>
    <x v="0"/>
    <n v="1049"/>
    <x v="0"/>
    <x v="1"/>
    <n v="36"/>
    <n v="3"/>
    <n v="1"/>
    <s v="Human Resources"/>
    <x v="1"/>
    <s v="Single"/>
    <x v="221"/>
    <n v="8318"/>
    <n v="1"/>
    <x v="0"/>
    <x v="1"/>
    <n v="16"/>
    <n v="3"/>
    <n v="1"/>
    <n v="80"/>
    <n v="0"/>
    <n v="6"/>
    <n v="3"/>
    <n v="3"/>
    <n v="6"/>
    <n v="3"/>
    <n v="0"/>
    <n v="4"/>
  </r>
  <r>
    <x v="16"/>
    <x v="1"/>
    <x v="1"/>
    <x v="587"/>
    <x v="0"/>
    <n v="2"/>
    <n v="3"/>
    <s v="Marketing"/>
    <x v="0"/>
    <n v="1050"/>
    <x v="1"/>
    <x v="0"/>
    <n v="38"/>
    <n v="2"/>
    <n v="3"/>
    <s v="Sales Executive"/>
    <x v="1"/>
    <s v="Married"/>
    <x v="720"/>
    <n v="23537"/>
    <n v="2"/>
    <x v="0"/>
    <x v="1"/>
    <n v="12"/>
    <n v="3"/>
    <n v="1"/>
    <n v="80"/>
    <n v="1"/>
    <n v="30"/>
    <n v="2"/>
    <n v="3"/>
    <n v="15"/>
    <n v="7"/>
    <n v="6"/>
    <n v="12"/>
  </r>
  <r>
    <x v="9"/>
    <x v="0"/>
    <x v="0"/>
    <x v="588"/>
    <x v="1"/>
    <n v="15"/>
    <n v="3"/>
    <s v="Other"/>
    <x v="0"/>
    <n v="1052"/>
    <x v="3"/>
    <x v="1"/>
    <n v="81"/>
    <n v="3"/>
    <n v="2"/>
    <s v="Laboratory Technician"/>
    <x v="2"/>
    <s v="Divorced"/>
    <x v="721"/>
    <n v="7858"/>
    <n v="7"/>
    <x v="0"/>
    <x v="1"/>
    <n v="14"/>
    <n v="3"/>
    <n v="2"/>
    <n v="80"/>
    <n v="1"/>
    <n v="9"/>
    <n v="3"/>
    <n v="2"/>
    <n v="1"/>
    <n v="0"/>
    <n v="0"/>
    <n v="0"/>
  </r>
  <r>
    <x v="25"/>
    <x v="0"/>
    <x v="1"/>
    <x v="500"/>
    <x v="1"/>
    <n v="2"/>
    <n v="3"/>
    <s v="Life Sciences"/>
    <x v="0"/>
    <n v="1053"/>
    <x v="3"/>
    <x v="1"/>
    <n v="57"/>
    <n v="3"/>
    <n v="1"/>
    <s v="Research Scientist"/>
    <x v="3"/>
    <s v="Married"/>
    <x v="96"/>
    <n v="15346"/>
    <n v="6"/>
    <x v="0"/>
    <x v="0"/>
    <n v="14"/>
    <n v="3"/>
    <n v="2"/>
    <n v="80"/>
    <n v="1"/>
    <n v="6"/>
    <n v="2"/>
    <n v="3"/>
    <n v="3"/>
    <n v="2"/>
    <n v="1"/>
    <n v="2"/>
  </r>
  <r>
    <x v="13"/>
    <x v="1"/>
    <x v="0"/>
    <x v="541"/>
    <x v="0"/>
    <n v="10"/>
    <n v="4"/>
    <s v="Life Sciences"/>
    <x v="0"/>
    <n v="1055"/>
    <x v="1"/>
    <x v="0"/>
    <n v="87"/>
    <n v="3"/>
    <n v="1"/>
    <s v="Sales Representative"/>
    <x v="2"/>
    <s v="Married"/>
    <x v="722"/>
    <n v="18410"/>
    <n v="1"/>
    <x v="0"/>
    <x v="0"/>
    <n v="19"/>
    <n v="3"/>
    <n v="4"/>
    <n v="80"/>
    <n v="1"/>
    <n v="1"/>
    <n v="2"/>
    <n v="3"/>
    <n v="1"/>
    <n v="1"/>
    <n v="0"/>
    <n v="0"/>
  </r>
  <r>
    <x v="14"/>
    <x v="1"/>
    <x v="0"/>
    <x v="325"/>
    <x v="0"/>
    <n v="10"/>
    <n v="1"/>
    <s v="Medical"/>
    <x v="0"/>
    <n v="1056"/>
    <x v="2"/>
    <x v="1"/>
    <n v="74"/>
    <n v="3"/>
    <n v="1"/>
    <s v="Sales Representative"/>
    <x v="1"/>
    <s v="Married"/>
    <x v="723"/>
    <n v="23384"/>
    <n v="1"/>
    <x v="0"/>
    <x v="1"/>
    <n v="22"/>
    <n v="4"/>
    <n v="2"/>
    <n v="80"/>
    <n v="0"/>
    <n v="1"/>
    <n v="5"/>
    <n v="3"/>
    <n v="1"/>
    <n v="0"/>
    <n v="0"/>
    <n v="0"/>
  </r>
  <r>
    <x v="8"/>
    <x v="1"/>
    <x v="1"/>
    <x v="589"/>
    <x v="1"/>
    <n v="3"/>
    <n v="4"/>
    <s v="Other"/>
    <x v="0"/>
    <n v="1060"/>
    <x v="1"/>
    <x v="1"/>
    <n v="44"/>
    <n v="3"/>
    <n v="1"/>
    <s v="Research Scientist"/>
    <x v="2"/>
    <s v="Married"/>
    <x v="724"/>
    <n v="2997"/>
    <n v="3"/>
    <x v="0"/>
    <x v="1"/>
    <n v="16"/>
    <n v="3"/>
    <n v="1"/>
    <n v="80"/>
    <n v="1"/>
    <n v="8"/>
    <n v="2"/>
    <n v="3"/>
    <n v="2"/>
    <n v="2"/>
    <n v="2"/>
    <n v="2"/>
  </r>
  <r>
    <x v="24"/>
    <x v="1"/>
    <x v="0"/>
    <x v="590"/>
    <x v="1"/>
    <n v="2"/>
    <n v="4"/>
    <s v="Medical"/>
    <x v="0"/>
    <n v="1061"/>
    <x v="0"/>
    <x v="1"/>
    <n v="62"/>
    <n v="3"/>
    <n v="5"/>
    <s v="Research Director"/>
    <x v="2"/>
    <s v="Married"/>
    <x v="725"/>
    <n v="12853"/>
    <n v="2"/>
    <x v="0"/>
    <x v="0"/>
    <n v="11"/>
    <n v="3"/>
    <n v="4"/>
    <n v="80"/>
    <n v="1"/>
    <n v="29"/>
    <n v="2"/>
    <n v="2"/>
    <n v="8"/>
    <n v="1"/>
    <n v="7"/>
    <n v="7"/>
  </r>
  <r>
    <x v="2"/>
    <x v="1"/>
    <x v="0"/>
    <x v="587"/>
    <x v="1"/>
    <n v="3"/>
    <n v="3"/>
    <s v="Other"/>
    <x v="0"/>
    <n v="1062"/>
    <x v="2"/>
    <x v="0"/>
    <n v="35"/>
    <n v="3"/>
    <n v="2"/>
    <s v="Healthcare Representative"/>
    <x v="1"/>
    <s v="Single"/>
    <x v="726"/>
    <n v="13848"/>
    <n v="3"/>
    <x v="0"/>
    <x v="1"/>
    <n v="15"/>
    <n v="3"/>
    <n v="1"/>
    <n v="80"/>
    <n v="0"/>
    <n v="8"/>
    <n v="3"/>
    <n v="2"/>
    <n v="4"/>
    <n v="3"/>
    <n v="0"/>
    <n v="1"/>
  </r>
  <r>
    <x v="32"/>
    <x v="1"/>
    <x v="0"/>
    <x v="506"/>
    <x v="0"/>
    <n v="26"/>
    <n v="3"/>
    <s v="Marketing"/>
    <x v="0"/>
    <n v="1066"/>
    <x v="1"/>
    <x v="1"/>
    <n v="74"/>
    <n v="3"/>
    <n v="2"/>
    <s v="Sales Executive"/>
    <x v="3"/>
    <s v="Married"/>
    <x v="727"/>
    <n v="22217"/>
    <n v="1"/>
    <x v="0"/>
    <x v="1"/>
    <n v="14"/>
    <n v="3"/>
    <n v="2"/>
    <n v="80"/>
    <n v="1"/>
    <n v="8"/>
    <n v="3"/>
    <n v="2"/>
    <n v="7"/>
    <n v="7"/>
    <n v="7"/>
    <n v="5"/>
  </r>
  <r>
    <x v="25"/>
    <x v="1"/>
    <x v="1"/>
    <x v="324"/>
    <x v="1"/>
    <n v="1"/>
    <n v="1"/>
    <s v="Medical"/>
    <x v="0"/>
    <n v="1068"/>
    <x v="3"/>
    <x v="0"/>
    <n v="66"/>
    <n v="2"/>
    <n v="1"/>
    <s v="Research Scientist"/>
    <x v="2"/>
    <s v="Divorced"/>
    <x v="728"/>
    <n v="25265"/>
    <n v="1"/>
    <x v="0"/>
    <x v="1"/>
    <n v="13"/>
    <n v="3"/>
    <n v="3"/>
    <n v="80"/>
    <n v="2"/>
    <n v="5"/>
    <n v="5"/>
    <n v="3"/>
    <n v="5"/>
    <n v="3"/>
    <n v="1"/>
    <n v="3"/>
  </r>
  <r>
    <x v="21"/>
    <x v="1"/>
    <x v="0"/>
    <x v="454"/>
    <x v="1"/>
    <n v="1"/>
    <n v="4"/>
    <s v="Medical"/>
    <x v="0"/>
    <n v="1069"/>
    <x v="2"/>
    <x v="1"/>
    <n v="40"/>
    <n v="3"/>
    <n v="5"/>
    <s v="Research Director"/>
    <x v="0"/>
    <s v="Divorced"/>
    <x v="729"/>
    <n v="21445"/>
    <n v="9"/>
    <x v="0"/>
    <x v="1"/>
    <n v="17"/>
    <n v="3"/>
    <n v="4"/>
    <n v="80"/>
    <n v="2"/>
    <n v="23"/>
    <n v="0"/>
    <n v="3"/>
    <n v="2"/>
    <n v="2"/>
    <n v="2"/>
    <n v="2"/>
  </r>
  <r>
    <x v="33"/>
    <x v="1"/>
    <x v="0"/>
    <x v="72"/>
    <x v="0"/>
    <n v="2"/>
    <n v="4"/>
    <s v="Life Sciences"/>
    <x v="0"/>
    <n v="1070"/>
    <x v="1"/>
    <x v="0"/>
    <n v="41"/>
    <n v="2"/>
    <n v="3"/>
    <s v="Sales Executive"/>
    <x v="2"/>
    <s v="Married"/>
    <x v="730"/>
    <n v="8392"/>
    <n v="6"/>
    <x v="0"/>
    <x v="1"/>
    <n v="11"/>
    <n v="3"/>
    <n v="2"/>
    <n v="80"/>
    <n v="1"/>
    <n v="13"/>
    <n v="4"/>
    <n v="3"/>
    <n v="9"/>
    <n v="4"/>
    <n v="7"/>
    <n v="0"/>
  </r>
  <r>
    <x v="29"/>
    <x v="1"/>
    <x v="1"/>
    <x v="41"/>
    <x v="1"/>
    <n v="9"/>
    <n v="3"/>
    <s v="Medical"/>
    <x v="0"/>
    <n v="1071"/>
    <x v="3"/>
    <x v="0"/>
    <n v="63"/>
    <n v="3"/>
    <n v="1"/>
    <s v="Research Scientist"/>
    <x v="2"/>
    <s v="Married"/>
    <x v="131"/>
    <n v="12154"/>
    <n v="2"/>
    <x v="0"/>
    <x v="1"/>
    <n v="19"/>
    <n v="3"/>
    <n v="2"/>
    <n v="80"/>
    <n v="1"/>
    <n v="18"/>
    <n v="4"/>
    <n v="3"/>
    <n v="5"/>
    <n v="4"/>
    <n v="0"/>
    <n v="3"/>
  </r>
  <r>
    <x v="9"/>
    <x v="1"/>
    <x v="0"/>
    <x v="591"/>
    <x v="1"/>
    <n v="12"/>
    <n v="5"/>
    <s v="Medical"/>
    <x v="0"/>
    <n v="1073"/>
    <x v="2"/>
    <x v="0"/>
    <n v="51"/>
    <n v="2"/>
    <n v="3"/>
    <s v="Manufacturing Director"/>
    <x v="0"/>
    <s v="Single"/>
    <x v="731"/>
    <n v="15669"/>
    <n v="0"/>
    <x v="0"/>
    <x v="1"/>
    <n v="11"/>
    <n v="3"/>
    <n v="2"/>
    <n v="80"/>
    <n v="0"/>
    <n v="15"/>
    <n v="2"/>
    <n v="2"/>
    <n v="14"/>
    <n v="8"/>
    <n v="7"/>
    <n v="8"/>
  </r>
  <r>
    <x v="27"/>
    <x v="1"/>
    <x v="2"/>
    <x v="264"/>
    <x v="1"/>
    <n v="2"/>
    <n v="1"/>
    <s v="Medical"/>
    <x v="0"/>
    <n v="1074"/>
    <x v="1"/>
    <x v="1"/>
    <n v="40"/>
    <n v="2"/>
    <n v="4"/>
    <s v="Manager"/>
    <x v="3"/>
    <s v="Single"/>
    <x v="732"/>
    <n v="17323"/>
    <n v="7"/>
    <x v="0"/>
    <x v="1"/>
    <n v="15"/>
    <n v="3"/>
    <n v="2"/>
    <n v="80"/>
    <n v="0"/>
    <n v="31"/>
    <n v="3"/>
    <n v="4"/>
    <n v="9"/>
    <n v="7"/>
    <n v="6"/>
    <n v="2"/>
  </r>
  <r>
    <x v="23"/>
    <x v="1"/>
    <x v="0"/>
    <x v="592"/>
    <x v="0"/>
    <n v="25"/>
    <n v="3"/>
    <s v="Medical"/>
    <x v="0"/>
    <n v="1076"/>
    <x v="1"/>
    <x v="1"/>
    <n v="79"/>
    <n v="2"/>
    <n v="3"/>
    <s v="Sales Executive"/>
    <x v="0"/>
    <s v="Divorced"/>
    <x v="733"/>
    <n v="5268"/>
    <n v="5"/>
    <x v="0"/>
    <x v="1"/>
    <n v="13"/>
    <n v="3"/>
    <n v="3"/>
    <n v="80"/>
    <n v="1"/>
    <n v="18"/>
    <n v="5"/>
    <n v="3"/>
    <n v="1"/>
    <n v="0"/>
    <n v="0"/>
    <n v="0"/>
  </r>
  <r>
    <x v="35"/>
    <x v="0"/>
    <x v="1"/>
    <x v="593"/>
    <x v="0"/>
    <n v="9"/>
    <n v="3"/>
    <s v="Marketing"/>
    <x v="0"/>
    <n v="1077"/>
    <x v="2"/>
    <x v="0"/>
    <n v="54"/>
    <n v="3"/>
    <n v="1"/>
    <s v="Sales Representative"/>
    <x v="0"/>
    <s v="Single"/>
    <x v="157"/>
    <n v="17205"/>
    <n v="1"/>
    <x v="0"/>
    <x v="0"/>
    <n v="14"/>
    <n v="3"/>
    <n v="2"/>
    <n v="80"/>
    <n v="0"/>
    <n v="2"/>
    <n v="3"/>
    <n v="3"/>
    <n v="2"/>
    <n v="2"/>
    <n v="0"/>
    <n v="2"/>
  </r>
  <r>
    <x v="18"/>
    <x v="0"/>
    <x v="0"/>
    <x v="91"/>
    <x v="1"/>
    <n v="10"/>
    <n v="3"/>
    <s v="Life Sciences"/>
    <x v="0"/>
    <n v="1079"/>
    <x v="1"/>
    <x v="0"/>
    <n v="36"/>
    <n v="2"/>
    <n v="1"/>
    <s v="Laboratory Technician"/>
    <x v="3"/>
    <s v="Single"/>
    <x v="734"/>
    <n v="17258"/>
    <n v="1"/>
    <x v="0"/>
    <x v="1"/>
    <n v="13"/>
    <n v="3"/>
    <n v="1"/>
    <n v="80"/>
    <n v="0"/>
    <n v="1"/>
    <n v="6"/>
    <n v="2"/>
    <n v="1"/>
    <n v="0"/>
    <n v="1"/>
    <n v="0"/>
  </r>
  <r>
    <x v="21"/>
    <x v="1"/>
    <x v="0"/>
    <x v="594"/>
    <x v="1"/>
    <n v="8"/>
    <n v="4"/>
    <s v="Life Sciences"/>
    <x v="0"/>
    <n v="1080"/>
    <x v="2"/>
    <x v="0"/>
    <n v="74"/>
    <n v="2"/>
    <n v="2"/>
    <s v="Research Scientist"/>
    <x v="3"/>
    <s v="Divorced"/>
    <x v="735"/>
    <n v="21029"/>
    <n v="8"/>
    <x v="0"/>
    <x v="0"/>
    <n v="23"/>
    <n v="4"/>
    <n v="1"/>
    <n v="80"/>
    <n v="3"/>
    <n v="19"/>
    <n v="2"/>
    <n v="3"/>
    <n v="16"/>
    <n v="13"/>
    <n v="1"/>
    <n v="7"/>
  </r>
  <r>
    <x v="31"/>
    <x v="0"/>
    <x v="0"/>
    <x v="210"/>
    <x v="1"/>
    <n v="4"/>
    <n v="4"/>
    <s v="Life Sciences"/>
    <x v="0"/>
    <n v="1081"/>
    <x v="3"/>
    <x v="1"/>
    <n v="34"/>
    <n v="3"/>
    <n v="1"/>
    <s v="Research Scientist"/>
    <x v="2"/>
    <s v="Married"/>
    <x v="736"/>
    <n v="10332"/>
    <n v="9"/>
    <x v="0"/>
    <x v="0"/>
    <n v="12"/>
    <n v="3"/>
    <n v="3"/>
    <n v="80"/>
    <n v="3"/>
    <n v="18"/>
    <n v="2"/>
    <n v="4"/>
    <n v="10"/>
    <n v="0"/>
    <n v="2"/>
    <n v="7"/>
  </r>
  <r>
    <x v="14"/>
    <x v="0"/>
    <x v="2"/>
    <x v="595"/>
    <x v="1"/>
    <n v="24"/>
    <n v="2"/>
    <s v="Technical Degree"/>
    <x v="0"/>
    <n v="1082"/>
    <x v="0"/>
    <x v="1"/>
    <n v="72"/>
    <n v="2"/>
    <n v="3"/>
    <s v="Healthcare Representative"/>
    <x v="3"/>
    <s v="Single"/>
    <x v="737"/>
    <n v="12355"/>
    <n v="1"/>
    <x v="0"/>
    <x v="1"/>
    <n v="12"/>
    <n v="3"/>
    <n v="1"/>
    <n v="80"/>
    <n v="0"/>
    <n v="10"/>
    <n v="2"/>
    <n v="2"/>
    <n v="10"/>
    <n v="7"/>
    <n v="1"/>
    <n v="9"/>
  </r>
  <r>
    <x v="25"/>
    <x v="1"/>
    <x v="0"/>
    <x v="282"/>
    <x v="1"/>
    <n v="1"/>
    <n v="2"/>
    <s v="Medical"/>
    <x v="0"/>
    <n v="1083"/>
    <x v="3"/>
    <x v="1"/>
    <n v="59"/>
    <n v="2"/>
    <n v="1"/>
    <s v="Laboratory Technician"/>
    <x v="3"/>
    <s v="Married"/>
    <x v="738"/>
    <n v="11141"/>
    <n v="1"/>
    <x v="0"/>
    <x v="1"/>
    <n v="16"/>
    <n v="3"/>
    <n v="1"/>
    <n v="80"/>
    <n v="2"/>
    <n v="6"/>
    <n v="2"/>
    <n v="3"/>
    <n v="5"/>
    <n v="3"/>
    <n v="1"/>
    <n v="3"/>
  </r>
  <r>
    <x v="7"/>
    <x v="1"/>
    <x v="0"/>
    <x v="422"/>
    <x v="1"/>
    <n v="20"/>
    <n v="3"/>
    <s v="Other"/>
    <x v="0"/>
    <n v="1084"/>
    <x v="1"/>
    <x v="1"/>
    <n v="85"/>
    <n v="3"/>
    <n v="2"/>
    <s v="Manufacturing Director"/>
    <x v="3"/>
    <s v="Married"/>
    <x v="739"/>
    <n v="9096"/>
    <n v="0"/>
    <x v="0"/>
    <x v="1"/>
    <n v="15"/>
    <n v="3"/>
    <n v="3"/>
    <n v="80"/>
    <n v="1"/>
    <n v="7"/>
    <n v="1"/>
    <n v="2"/>
    <n v="6"/>
    <n v="2"/>
    <n v="0"/>
    <n v="2"/>
  </r>
  <r>
    <x v="0"/>
    <x v="1"/>
    <x v="0"/>
    <x v="385"/>
    <x v="1"/>
    <n v="7"/>
    <n v="2"/>
    <s v="Technical Degree"/>
    <x v="0"/>
    <n v="1085"/>
    <x v="0"/>
    <x v="0"/>
    <n v="43"/>
    <n v="4"/>
    <n v="1"/>
    <s v="Research Scientist"/>
    <x v="2"/>
    <s v="Married"/>
    <x v="740"/>
    <n v="18863"/>
    <n v="1"/>
    <x v="0"/>
    <x v="1"/>
    <n v="13"/>
    <n v="3"/>
    <n v="3"/>
    <n v="80"/>
    <n v="0"/>
    <n v="10"/>
    <n v="3"/>
    <n v="3"/>
    <n v="10"/>
    <n v="6"/>
    <n v="0"/>
    <n v="8"/>
  </r>
  <r>
    <x v="8"/>
    <x v="1"/>
    <x v="0"/>
    <x v="596"/>
    <x v="1"/>
    <n v="17"/>
    <n v="1"/>
    <s v="Life Sciences"/>
    <x v="0"/>
    <n v="1088"/>
    <x v="1"/>
    <x v="0"/>
    <n v="65"/>
    <n v="2"/>
    <n v="3"/>
    <s v="Healthcare Representative"/>
    <x v="2"/>
    <s v="Married"/>
    <x v="741"/>
    <n v="24608"/>
    <n v="0"/>
    <x v="0"/>
    <x v="1"/>
    <n v="18"/>
    <n v="3"/>
    <n v="1"/>
    <n v="80"/>
    <n v="1"/>
    <n v="20"/>
    <n v="4"/>
    <n v="2"/>
    <n v="19"/>
    <n v="9"/>
    <n v="1"/>
    <n v="9"/>
  </r>
  <r>
    <x v="32"/>
    <x v="1"/>
    <x v="0"/>
    <x v="597"/>
    <x v="1"/>
    <n v="20"/>
    <n v="4"/>
    <s v="Technical Degree"/>
    <x v="0"/>
    <n v="1092"/>
    <x v="3"/>
    <x v="1"/>
    <n v="61"/>
    <n v="3"/>
    <n v="3"/>
    <s v="Healthcare Representative"/>
    <x v="0"/>
    <s v="Married"/>
    <x v="742"/>
    <n v="26542"/>
    <n v="4"/>
    <x v="0"/>
    <x v="1"/>
    <n v="20"/>
    <n v="4"/>
    <n v="4"/>
    <n v="80"/>
    <n v="1"/>
    <n v="14"/>
    <n v="6"/>
    <n v="3"/>
    <n v="11"/>
    <n v="10"/>
    <n v="11"/>
    <n v="1"/>
  </r>
  <r>
    <x v="4"/>
    <x v="1"/>
    <x v="2"/>
    <x v="368"/>
    <x v="1"/>
    <n v="8"/>
    <n v="5"/>
    <s v="Life Sciences"/>
    <x v="0"/>
    <n v="1094"/>
    <x v="3"/>
    <x v="1"/>
    <n v="87"/>
    <n v="1"/>
    <n v="1"/>
    <s v="Laboratory Technician"/>
    <x v="2"/>
    <s v="Married"/>
    <x v="743"/>
    <n v="5869"/>
    <n v="1"/>
    <x v="0"/>
    <x v="1"/>
    <n v="19"/>
    <n v="3"/>
    <n v="4"/>
    <n v="80"/>
    <n v="3"/>
    <n v="3"/>
    <n v="4"/>
    <n v="3"/>
    <n v="3"/>
    <n v="2"/>
    <n v="1"/>
    <n v="2"/>
  </r>
  <r>
    <x v="27"/>
    <x v="1"/>
    <x v="1"/>
    <x v="286"/>
    <x v="1"/>
    <n v="2"/>
    <n v="1"/>
    <s v="Life Sciences"/>
    <x v="0"/>
    <n v="1096"/>
    <x v="2"/>
    <x v="1"/>
    <n v="65"/>
    <n v="3"/>
    <n v="3"/>
    <s v="Manufacturing Director"/>
    <x v="1"/>
    <s v="Married"/>
    <x v="744"/>
    <n v="15813"/>
    <n v="3"/>
    <x v="0"/>
    <x v="1"/>
    <n v="18"/>
    <n v="3"/>
    <n v="2"/>
    <n v="80"/>
    <n v="1"/>
    <n v="23"/>
    <n v="4"/>
    <n v="3"/>
    <n v="3"/>
    <n v="2"/>
    <n v="1"/>
    <n v="2"/>
  </r>
  <r>
    <x v="14"/>
    <x v="1"/>
    <x v="0"/>
    <x v="142"/>
    <x v="1"/>
    <n v="10"/>
    <n v="3"/>
    <s v="Other"/>
    <x v="0"/>
    <n v="1097"/>
    <x v="1"/>
    <x v="0"/>
    <n v="59"/>
    <n v="3"/>
    <n v="2"/>
    <s v="Research Scientist"/>
    <x v="2"/>
    <s v="Single"/>
    <x v="745"/>
    <n v="7909"/>
    <n v="3"/>
    <x v="0"/>
    <x v="1"/>
    <n v="13"/>
    <n v="3"/>
    <n v="4"/>
    <n v="80"/>
    <n v="0"/>
    <n v="10"/>
    <n v="4"/>
    <n v="4"/>
    <n v="8"/>
    <n v="7"/>
    <n v="1"/>
    <n v="7"/>
  </r>
  <r>
    <x v="20"/>
    <x v="0"/>
    <x v="0"/>
    <x v="551"/>
    <x v="2"/>
    <n v="1"/>
    <n v="2"/>
    <s v="Medical"/>
    <x v="0"/>
    <n v="1098"/>
    <x v="0"/>
    <x v="1"/>
    <n v="91"/>
    <n v="2"/>
    <n v="3"/>
    <s v="Human Resources"/>
    <x v="3"/>
    <s v="Married"/>
    <x v="746"/>
    <n v="2326"/>
    <n v="9"/>
    <x v="0"/>
    <x v="1"/>
    <n v="14"/>
    <n v="3"/>
    <n v="4"/>
    <n v="80"/>
    <n v="1"/>
    <n v="24"/>
    <n v="1"/>
    <n v="3"/>
    <n v="20"/>
    <n v="6"/>
    <n v="3"/>
    <n v="6"/>
  </r>
  <r>
    <x v="3"/>
    <x v="1"/>
    <x v="0"/>
    <x v="443"/>
    <x v="1"/>
    <n v="5"/>
    <n v="3"/>
    <s v="Life Sciences"/>
    <x v="0"/>
    <n v="1099"/>
    <x v="2"/>
    <x v="1"/>
    <n v="34"/>
    <n v="2"/>
    <n v="3"/>
    <s v="Healthcare Representative"/>
    <x v="0"/>
    <s v="Divorced"/>
    <x v="747"/>
    <n v="21214"/>
    <n v="4"/>
    <x v="0"/>
    <x v="1"/>
    <n v="15"/>
    <n v="3"/>
    <n v="3"/>
    <n v="80"/>
    <n v="1"/>
    <n v="9"/>
    <n v="2"/>
    <n v="3"/>
    <n v="3"/>
    <n v="2"/>
    <n v="1"/>
    <n v="2"/>
  </r>
  <r>
    <x v="10"/>
    <x v="0"/>
    <x v="0"/>
    <x v="598"/>
    <x v="0"/>
    <n v="4"/>
    <n v="3"/>
    <s v="Technical Degree"/>
    <x v="0"/>
    <n v="1100"/>
    <x v="2"/>
    <x v="1"/>
    <n v="86"/>
    <n v="3"/>
    <n v="3"/>
    <s v="Sales Executive"/>
    <x v="3"/>
    <s v="Single"/>
    <x v="748"/>
    <n v="10333"/>
    <n v="0"/>
    <x v="0"/>
    <x v="0"/>
    <n v="22"/>
    <n v="4"/>
    <n v="1"/>
    <n v="80"/>
    <n v="0"/>
    <n v="9"/>
    <n v="2"/>
    <n v="3"/>
    <n v="8"/>
    <n v="7"/>
    <n v="4"/>
    <n v="7"/>
  </r>
  <r>
    <x v="3"/>
    <x v="0"/>
    <x v="1"/>
    <x v="100"/>
    <x v="1"/>
    <n v="29"/>
    <n v="4"/>
    <s v="Medical"/>
    <x v="0"/>
    <n v="1101"/>
    <x v="3"/>
    <x v="0"/>
    <n v="54"/>
    <n v="2"/>
    <n v="2"/>
    <s v="Research Scientist"/>
    <x v="2"/>
    <s v="Single"/>
    <x v="749"/>
    <n v="3129"/>
    <n v="1"/>
    <x v="0"/>
    <x v="1"/>
    <n v="22"/>
    <n v="4"/>
    <n v="2"/>
    <n v="80"/>
    <n v="0"/>
    <n v="14"/>
    <n v="4"/>
    <n v="3"/>
    <n v="13"/>
    <n v="7"/>
    <n v="3"/>
    <n v="8"/>
  </r>
  <r>
    <x v="14"/>
    <x v="1"/>
    <x v="0"/>
    <x v="33"/>
    <x v="1"/>
    <n v="15"/>
    <n v="2"/>
    <s v="Life Sciences"/>
    <x v="0"/>
    <n v="1102"/>
    <x v="3"/>
    <x v="1"/>
    <n v="50"/>
    <n v="3"/>
    <n v="1"/>
    <s v="Laboratory Technician"/>
    <x v="2"/>
    <s v="Divorced"/>
    <x v="750"/>
    <n v="22482"/>
    <n v="1"/>
    <x v="0"/>
    <x v="1"/>
    <n v="16"/>
    <n v="3"/>
    <n v="4"/>
    <n v="80"/>
    <n v="1"/>
    <n v="4"/>
    <n v="5"/>
    <n v="2"/>
    <n v="4"/>
    <n v="2"/>
    <n v="2"/>
    <n v="2"/>
  </r>
  <r>
    <x v="13"/>
    <x v="1"/>
    <x v="1"/>
    <x v="532"/>
    <x v="1"/>
    <n v="3"/>
    <n v="1"/>
    <s v="Life Sciences"/>
    <x v="0"/>
    <n v="1103"/>
    <x v="3"/>
    <x v="1"/>
    <n v="45"/>
    <n v="3"/>
    <n v="2"/>
    <s v="Healthcare Representative"/>
    <x v="0"/>
    <s v="Single"/>
    <x v="751"/>
    <n v="22266"/>
    <n v="0"/>
    <x v="0"/>
    <x v="1"/>
    <n v="17"/>
    <n v="3"/>
    <n v="3"/>
    <n v="80"/>
    <n v="0"/>
    <n v="7"/>
    <n v="1"/>
    <n v="2"/>
    <n v="6"/>
    <n v="2"/>
    <n v="0"/>
    <n v="4"/>
  </r>
  <r>
    <x v="2"/>
    <x v="1"/>
    <x v="0"/>
    <x v="599"/>
    <x v="0"/>
    <n v="10"/>
    <n v="4"/>
    <s v="Life Sciences"/>
    <x v="0"/>
    <n v="1105"/>
    <x v="2"/>
    <x v="0"/>
    <n v="88"/>
    <n v="2"/>
    <n v="2"/>
    <s v="Sales Executive"/>
    <x v="0"/>
    <s v="Divorced"/>
    <x v="752"/>
    <n v="24223"/>
    <n v="2"/>
    <x v="0"/>
    <x v="0"/>
    <n v="14"/>
    <n v="3"/>
    <n v="3"/>
    <n v="80"/>
    <n v="3"/>
    <n v="8"/>
    <n v="5"/>
    <n v="3"/>
    <n v="1"/>
    <n v="0"/>
    <n v="0"/>
    <n v="0"/>
  </r>
  <r>
    <x v="36"/>
    <x v="0"/>
    <x v="0"/>
    <x v="18"/>
    <x v="1"/>
    <n v="4"/>
    <n v="1"/>
    <s v="Technical Degree"/>
    <x v="0"/>
    <n v="1106"/>
    <x v="2"/>
    <x v="1"/>
    <n v="32"/>
    <n v="3"/>
    <n v="1"/>
    <s v="Laboratory Technician"/>
    <x v="0"/>
    <s v="Married"/>
    <x v="753"/>
    <n v="4605"/>
    <n v="1"/>
    <x v="0"/>
    <x v="0"/>
    <n v="15"/>
    <n v="3"/>
    <n v="2"/>
    <n v="80"/>
    <n v="1"/>
    <n v="7"/>
    <n v="3"/>
    <n v="4"/>
    <n v="7"/>
    <n v="7"/>
    <n v="5"/>
    <n v="6"/>
  </r>
  <r>
    <x v="25"/>
    <x v="0"/>
    <x v="0"/>
    <x v="600"/>
    <x v="1"/>
    <n v="21"/>
    <n v="3"/>
    <s v="Medical"/>
    <x v="0"/>
    <n v="1107"/>
    <x v="3"/>
    <x v="1"/>
    <n v="37"/>
    <n v="3"/>
    <n v="1"/>
    <s v="Laboratory Technician"/>
    <x v="2"/>
    <s v="Divorced"/>
    <x v="638"/>
    <n v="19373"/>
    <n v="1"/>
    <x v="0"/>
    <x v="1"/>
    <n v="20"/>
    <n v="4"/>
    <n v="3"/>
    <n v="80"/>
    <n v="1"/>
    <n v="1"/>
    <n v="0"/>
    <n v="2"/>
    <n v="1"/>
    <n v="1"/>
    <n v="0"/>
    <n v="0"/>
  </r>
  <r>
    <x v="3"/>
    <x v="0"/>
    <x v="0"/>
    <x v="224"/>
    <x v="1"/>
    <n v="25"/>
    <n v="3"/>
    <s v="Medical"/>
    <x v="0"/>
    <n v="1108"/>
    <x v="3"/>
    <x v="1"/>
    <n v="55"/>
    <n v="2"/>
    <n v="1"/>
    <s v="Research Scientist"/>
    <x v="1"/>
    <s v="Single"/>
    <x v="754"/>
    <n v="2993"/>
    <n v="4"/>
    <x v="0"/>
    <x v="0"/>
    <n v="20"/>
    <n v="4"/>
    <n v="2"/>
    <n v="80"/>
    <n v="0"/>
    <n v="5"/>
    <n v="0"/>
    <n v="3"/>
    <n v="2"/>
    <n v="2"/>
    <n v="2"/>
    <n v="2"/>
  </r>
  <r>
    <x v="19"/>
    <x v="1"/>
    <x v="0"/>
    <x v="601"/>
    <x v="1"/>
    <n v="2"/>
    <n v="2"/>
    <s v="Medical"/>
    <x v="0"/>
    <n v="1109"/>
    <x v="2"/>
    <x v="1"/>
    <n v="35"/>
    <n v="3"/>
    <n v="4"/>
    <s v="Manager"/>
    <x v="3"/>
    <s v="Married"/>
    <x v="755"/>
    <n v="14399"/>
    <n v="0"/>
    <x v="0"/>
    <x v="1"/>
    <n v="17"/>
    <n v="3"/>
    <n v="4"/>
    <n v="80"/>
    <n v="1"/>
    <n v="23"/>
    <n v="3"/>
    <n v="3"/>
    <n v="22"/>
    <n v="6"/>
    <n v="13"/>
    <n v="7"/>
  </r>
  <r>
    <x v="14"/>
    <x v="0"/>
    <x v="1"/>
    <x v="365"/>
    <x v="1"/>
    <n v="1"/>
    <n v="3"/>
    <s v="Medical"/>
    <x v="0"/>
    <n v="1111"/>
    <x v="3"/>
    <x v="1"/>
    <n v="45"/>
    <n v="2"/>
    <n v="1"/>
    <s v="Laboratory Technician"/>
    <x v="1"/>
    <s v="Divorced"/>
    <x v="756"/>
    <n v="7160"/>
    <n v="1"/>
    <x v="0"/>
    <x v="1"/>
    <n v="15"/>
    <n v="3"/>
    <n v="1"/>
    <n v="80"/>
    <n v="2"/>
    <n v="1"/>
    <n v="2"/>
    <n v="3"/>
    <n v="1"/>
    <n v="0"/>
    <n v="0"/>
    <n v="0"/>
  </r>
  <r>
    <x v="24"/>
    <x v="0"/>
    <x v="1"/>
    <x v="134"/>
    <x v="0"/>
    <n v="1"/>
    <n v="4"/>
    <s v="Other"/>
    <x v="0"/>
    <n v="1113"/>
    <x v="2"/>
    <x v="1"/>
    <n v="81"/>
    <n v="3"/>
    <n v="2"/>
    <s v="Sales Executive"/>
    <x v="2"/>
    <s v="Single"/>
    <x v="757"/>
    <n v="17251"/>
    <n v="3"/>
    <x v="0"/>
    <x v="0"/>
    <n v="14"/>
    <n v="3"/>
    <n v="4"/>
    <n v="80"/>
    <n v="0"/>
    <n v="5"/>
    <n v="4"/>
    <n v="3"/>
    <n v="0"/>
    <n v="0"/>
    <n v="0"/>
    <n v="0"/>
  </r>
  <r>
    <x v="3"/>
    <x v="1"/>
    <x v="1"/>
    <x v="438"/>
    <x v="0"/>
    <n v="7"/>
    <n v="3"/>
    <s v="Life Sciences"/>
    <x v="0"/>
    <n v="1114"/>
    <x v="2"/>
    <x v="0"/>
    <n v="30"/>
    <n v="3"/>
    <n v="2"/>
    <s v="Sales Executive"/>
    <x v="1"/>
    <s v="Married"/>
    <x v="758"/>
    <n v="13401"/>
    <n v="0"/>
    <x v="0"/>
    <x v="1"/>
    <n v="17"/>
    <n v="3"/>
    <n v="3"/>
    <n v="80"/>
    <n v="1"/>
    <n v="4"/>
    <n v="3"/>
    <n v="3"/>
    <n v="3"/>
    <n v="2"/>
    <n v="0"/>
    <n v="2"/>
  </r>
  <r>
    <x v="13"/>
    <x v="1"/>
    <x v="2"/>
    <x v="602"/>
    <x v="1"/>
    <n v="3"/>
    <n v="4"/>
    <s v="Life Sciences"/>
    <x v="0"/>
    <n v="1115"/>
    <x v="1"/>
    <x v="1"/>
    <n v="40"/>
    <n v="2"/>
    <n v="1"/>
    <s v="Research Scientist"/>
    <x v="0"/>
    <s v="Married"/>
    <x v="759"/>
    <n v="22478"/>
    <n v="3"/>
    <x v="0"/>
    <x v="1"/>
    <n v="17"/>
    <n v="3"/>
    <n v="4"/>
    <n v="80"/>
    <n v="3"/>
    <n v="6"/>
    <n v="2"/>
    <n v="3"/>
    <n v="0"/>
    <n v="0"/>
    <n v="0"/>
    <n v="0"/>
  </r>
  <r>
    <x v="26"/>
    <x v="1"/>
    <x v="2"/>
    <x v="603"/>
    <x v="1"/>
    <n v="1"/>
    <n v="4"/>
    <s v="Medical"/>
    <x v="0"/>
    <n v="1116"/>
    <x v="3"/>
    <x v="1"/>
    <n v="35"/>
    <n v="4"/>
    <n v="4"/>
    <s v="Manager"/>
    <x v="0"/>
    <s v="Single"/>
    <x v="760"/>
    <n v="16154"/>
    <n v="2"/>
    <x v="0"/>
    <x v="1"/>
    <n v="22"/>
    <n v="4"/>
    <n v="3"/>
    <n v="80"/>
    <n v="0"/>
    <n v="27"/>
    <n v="3"/>
    <n v="2"/>
    <n v="5"/>
    <n v="4"/>
    <n v="2"/>
    <n v="1"/>
  </r>
  <r>
    <x v="28"/>
    <x v="1"/>
    <x v="2"/>
    <x v="604"/>
    <x v="0"/>
    <n v="9"/>
    <n v="4"/>
    <s v="Life Sciences"/>
    <x v="0"/>
    <n v="1117"/>
    <x v="0"/>
    <x v="0"/>
    <n v="65"/>
    <n v="2"/>
    <n v="2"/>
    <s v="Sales Executive"/>
    <x v="2"/>
    <s v="Married"/>
    <x v="761"/>
    <n v="17970"/>
    <n v="1"/>
    <x v="0"/>
    <x v="1"/>
    <n v="13"/>
    <n v="3"/>
    <n v="4"/>
    <n v="80"/>
    <n v="1"/>
    <n v="15"/>
    <n v="2"/>
    <n v="3"/>
    <n v="15"/>
    <n v="10"/>
    <n v="4"/>
    <n v="12"/>
  </r>
  <r>
    <x v="39"/>
    <x v="1"/>
    <x v="0"/>
    <x v="43"/>
    <x v="1"/>
    <n v="7"/>
    <n v="4"/>
    <s v="Life Sciences"/>
    <x v="0"/>
    <n v="1118"/>
    <x v="0"/>
    <x v="1"/>
    <n v="87"/>
    <n v="3"/>
    <n v="3"/>
    <s v="Healthcare Representative"/>
    <x v="1"/>
    <s v="Single"/>
    <x v="762"/>
    <n v="15322"/>
    <n v="7"/>
    <x v="0"/>
    <x v="1"/>
    <n v="19"/>
    <n v="3"/>
    <n v="4"/>
    <n v="80"/>
    <n v="0"/>
    <n v="18"/>
    <n v="4"/>
    <n v="3"/>
    <n v="8"/>
    <n v="6"/>
    <n v="4"/>
    <n v="0"/>
  </r>
  <r>
    <x v="8"/>
    <x v="1"/>
    <x v="0"/>
    <x v="605"/>
    <x v="0"/>
    <n v="10"/>
    <n v="4"/>
    <s v="Marketing"/>
    <x v="0"/>
    <n v="1119"/>
    <x v="1"/>
    <x v="1"/>
    <n v="73"/>
    <n v="2"/>
    <n v="3"/>
    <s v="Sales Executive"/>
    <x v="2"/>
    <s v="Divorced"/>
    <x v="763"/>
    <n v="5569"/>
    <n v="0"/>
    <x v="0"/>
    <x v="0"/>
    <n v="14"/>
    <n v="3"/>
    <n v="2"/>
    <n v="80"/>
    <n v="2"/>
    <n v="9"/>
    <n v="2"/>
    <n v="3"/>
    <n v="8"/>
    <n v="7"/>
    <n v="2"/>
    <n v="7"/>
  </r>
  <r>
    <x v="11"/>
    <x v="1"/>
    <x v="0"/>
    <x v="340"/>
    <x v="1"/>
    <n v="28"/>
    <n v="4"/>
    <s v="Life Sciences"/>
    <x v="0"/>
    <n v="1120"/>
    <x v="1"/>
    <x v="0"/>
    <n v="93"/>
    <n v="3"/>
    <n v="1"/>
    <s v="Research Scientist"/>
    <x v="0"/>
    <s v="Divorced"/>
    <x v="764"/>
    <n v="26968"/>
    <n v="4"/>
    <x v="0"/>
    <x v="1"/>
    <n v="22"/>
    <n v="4"/>
    <n v="1"/>
    <n v="80"/>
    <n v="1"/>
    <n v="11"/>
    <n v="1"/>
    <n v="3"/>
    <n v="7"/>
    <n v="5"/>
    <n v="1"/>
    <n v="7"/>
  </r>
  <r>
    <x v="14"/>
    <x v="1"/>
    <x v="0"/>
    <x v="265"/>
    <x v="1"/>
    <n v="3"/>
    <n v="3"/>
    <s v="Medical"/>
    <x v="0"/>
    <n v="1121"/>
    <x v="2"/>
    <x v="0"/>
    <n v="93"/>
    <n v="3"/>
    <n v="3"/>
    <s v="Manufacturing Director"/>
    <x v="1"/>
    <s v="Divorced"/>
    <x v="765"/>
    <n v="8039"/>
    <n v="0"/>
    <x v="0"/>
    <x v="1"/>
    <n v="17"/>
    <n v="3"/>
    <n v="2"/>
    <n v="80"/>
    <n v="3"/>
    <n v="10"/>
    <n v="3"/>
    <n v="2"/>
    <n v="9"/>
    <n v="7"/>
    <n v="1"/>
    <n v="7"/>
  </r>
  <r>
    <x v="21"/>
    <x v="1"/>
    <x v="0"/>
    <x v="606"/>
    <x v="0"/>
    <n v="3"/>
    <n v="1"/>
    <s v="Marketing"/>
    <x v="0"/>
    <n v="1124"/>
    <x v="3"/>
    <x v="1"/>
    <n v="52"/>
    <n v="3"/>
    <n v="4"/>
    <s v="Manager"/>
    <x v="2"/>
    <s v="Married"/>
    <x v="766"/>
    <n v="15596"/>
    <n v="3"/>
    <x v="0"/>
    <x v="1"/>
    <n v="12"/>
    <n v="3"/>
    <n v="4"/>
    <n v="80"/>
    <n v="1"/>
    <n v="23"/>
    <n v="3"/>
    <n v="3"/>
    <n v="12"/>
    <n v="9"/>
    <n v="4"/>
    <n v="9"/>
  </r>
  <r>
    <x v="8"/>
    <x v="1"/>
    <x v="0"/>
    <x v="505"/>
    <x v="0"/>
    <n v="2"/>
    <n v="2"/>
    <s v="Marketing"/>
    <x v="0"/>
    <n v="1125"/>
    <x v="2"/>
    <x v="1"/>
    <n v="32"/>
    <n v="3"/>
    <n v="3"/>
    <s v="Sales Executive"/>
    <x v="1"/>
    <s v="Single"/>
    <x v="767"/>
    <n v="20619"/>
    <n v="7"/>
    <x v="0"/>
    <x v="1"/>
    <n v="16"/>
    <n v="3"/>
    <n v="3"/>
    <n v="80"/>
    <n v="0"/>
    <n v="10"/>
    <n v="2"/>
    <n v="3"/>
    <n v="1"/>
    <n v="0"/>
    <n v="0"/>
    <n v="0"/>
  </r>
  <r>
    <x v="23"/>
    <x v="1"/>
    <x v="1"/>
    <x v="72"/>
    <x v="1"/>
    <n v="27"/>
    <n v="3"/>
    <s v="Life Sciences"/>
    <x v="0"/>
    <n v="1126"/>
    <x v="1"/>
    <x v="0"/>
    <n v="83"/>
    <n v="3"/>
    <n v="3"/>
    <s v="Manufacturing Director"/>
    <x v="3"/>
    <s v="Married"/>
    <x v="768"/>
    <n v="11535"/>
    <n v="8"/>
    <x v="0"/>
    <x v="1"/>
    <n v="11"/>
    <n v="3"/>
    <n v="3"/>
    <n v="80"/>
    <n v="1"/>
    <n v="18"/>
    <n v="1"/>
    <n v="3"/>
    <n v="8"/>
    <n v="7"/>
    <n v="0"/>
    <n v="1"/>
  </r>
  <r>
    <x v="22"/>
    <x v="0"/>
    <x v="1"/>
    <x v="607"/>
    <x v="1"/>
    <n v="2"/>
    <n v="3"/>
    <s v="Life Sciences"/>
    <x v="0"/>
    <n v="1127"/>
    <x v="3"/>
    <x v="1"/>
    <n v="84"/>
    <n v="3"/>
    <n v="4"/>
    <s v="Healthcare Representative"/>
    <x v="0"/>
    <s v="Divorced"/>
    <x v="769"/>
    <n v="13547"/>
    <n v="7"/>
    <x v="0"/>
    <x v="1"/>
    <n v="11"/>
    <n v="3"/>
    <n v="4"/>
    <n v="80"/>
    <n v="3"/>
    <n v="21"/>
    <n v="4"/>
    <n v="3"/>
    <n v="18"/>
    <n v="7"/>
    <n v="11"/>
    <n v="5"/>
  </r>
  <r>
    <x v="32"/>
    <x v="1"/>
    <x v="0"/>
    <x v="608"/>
    <x v="1"/>
    <n v="14"/>
    <n v="3"/>
    <s v="Medical"/>
    <x v="0"/>
    <n v="1128"/>
    <x v="1"/>
    <x v="1"/>
    <n v="44"/>
    <n v="2"/>
    <n v="5"/>
    <s v="Research Director"/>
    <x v="2"/>
    <s v="Single"/>
    <x v="770"/>
    <n v="17544"/>
    <n v="1"/>
    <x v="0"/>
    <x v="1"/>
    <n v="14"/>
    <n v="3"/>
    <n v="1"/>
    <n v="80"/>
    <n v="0"/>
    <n v="21"/>
    <n v="2"/>
    <n v="4"/>
    <n v="20"/>
    <n v="7"/>
    <n v="4"/>
    <n v="9"/>
  </r>
  <r>
    <x v="18"/>
    <x v="1"/>
    <x v="0"/>
    <x v="609"/>
    <x v="1"/>
    <n v="1"/>
    <n v="1"/>
    <s v="Technical Degree"/>
    <x v="0"/>
    <n v="1131"/>
    <x v="2"/>
    <x v="0"/>
    <n v="70"/>
    <n v="2"/>
    <n v="1"/>
    <s v="Research Scientist"/>
    <x v="1"/>
    <s v="Single"/>
    <x v="266"/>
    <n v="25326"/>
    <n v="1"/>
    <x v="0"/>
    <x v="0"/>
    <n v="11"/>
    <n v="3"/>
    <n v="3"/>
    <n v="80"/>
    <n v="0"/>
    <n v="2"/>
    <n v="6"/>
    <n v="4"/>
    <n v="2"/>
    <n v="2"/>
    <n v="2"/>
    <n v="2"/>
  </r>
  <r>
    <x v="22"/>
    <x v="1"/>
    <x v="2"/>
    <x v="610"/>
    <x v="1"/>
    <n v="9"/>
    <n v="3"/>
    <s v="Life Sciences"/>
    <x v="0"/>
    <n v="1132"/>
    <x v="1"/>
    <x v="1"/>
    <n v="70"/>
    <n v="3"/>
    <n v="2"/>
    <s v="Laboratory Technician"/>
    <x v="1"/>
    <s v="Single"/>
    <x v="771"/>
    <n v="8770"/>
    <n v="9"/>
    <x v="0"/>
    <x v="1"/>
    <n v="15"/>
    <n v="3"/>
    <n v="3"/>
    <n v="80"/>
    <n v="0"/>
    <n v="9"/>
    <n v="2"/>
    <n v="2"/>
    <n v="5"/>
    <n v="4"/>
    <n v="0"/>
    <n v="3"/>
  </r>
  <r>
    <x v="9"/>
    <x v="1"/>
    <x v="2"/>
    <x v="446"/>
    <x v="1"/>
    <n v="18"/>
    <n v="4"/>
    <s v="Life Sciences"/>
    <x v="0"/>
    <n v="1133"/>
    <x v="3"/>
    <x v="1"/>
    <n v="78"/>
    <n v="3"/>
    <n v="2"/>
    <s v="Manufacturing Director"/>
    <x v="0"/>
    <s v="Single"/>
    <x v="772"/>
    <n v="23238"/>
    <n v="2"/>
    <x v="0"/>
    <x v="1"/>
    <n v="20"/>
    <n v="4"/>
    <n v="1"/>
    <n v="80"/>
    <n v="0"/>
    <n v="18"/>
    <n v="0"/>
    <n v="3"/>
    <n v="11"/>
    <n v="9"/>
    <n v="0"/>
    <n v="9"/>
  </r>
  <r>
    <x v="12"/>
    <x v="1"/>
    <x v="1"/>
    <x v="611"/>
    <x v="0"/>
    <n v="20"/>
    <n v="3"/>
    <s v="Life Sciences"/>
    <x v="0"/>
    <n v="1135"/>
    <x v="1"/>
    <x v="1"/>
    <n v="67"/>
    <n v="4"/>
    <n v="1"/>
    <s v="Sales Representative"/>
    <x v="0"/>
    <s v="Married"/>
    <x v="773"/>
    <n v="21981"/>
    <n v="0"/>
    <x v="0"/>
    <x v="1"/>
    <n v="12"/>
    <n v="3"/>
    <n v="1"/>
    <n v="80"/>
    <n v="1"/>
    <n v="3"/>
    <n v="4"/>
    <n v="3"/>
    <n v="2"/>
    <n v="2"/>
    <n v="2"/>
    <n v="2"/>
  </r>
  <r>
    <x v="14"/>
    <x v="1"/>
    <x v="0"/>
    <x v="612"/>
    <x v="1"/>
    <n v="2"/>
    <n v="1"/>
    <s v="Life Sciences"/>
    <x v="0"/>
    <n v="1136"/>
    <x v="3"/>
    <x v="1"/>
    <n v="67"/>
    <n v="2"/>
    <n v="1"/>
    <s v="Research Scientist"/>
    <x v="1"/>
    <s v="Married"/>
    <x v="774"/>
    <n v="19911"/>
    <n v="0"/>
    <x v="0"/>
    <x v="1"/>
    <n v="17"/>
    <n v="3"/>
    <n v="1"/>
    <n v="80"/>
    <n v="0"/>
    <n v="6"/>
    <n v="2"/>
    <n v="1"/>
    <n v="5"/>
    <n v="3"/>
    <n v="0"/>
    <n v="4"/>
  </r>
  <r>
    <x v="10"/>
    <x v="1"/>
    <x v="1"/>
    <x v="613"/>
    <x v="0"/>
    <n v="11"/>
    <n v="2"/>
    <s v="Marketing"/>
    <x v="0"/>
    <n v="1137"/>
    <x v="2"/>
    <x v="1"/>
    <n v="54"/>
    <n v="3"/>
    <n v="2"/>
    <s v="Sales Executive"/>
    <x v="0"/>
    <s v="Divorced"/>
    <x v="775"/>
    <n v="18500"/>
    <n v="1"/>
    <x v="0"/>
    <x v="1"/>
    <n v="11"/>
    <n v="3"/>
    <n v="4"/>
    <n v="80"/>
    <n v="1"/>
    <n v="5"/>
    <n v="3"/>
    <n v="3"/>
    <n v="5"/>
    <n v="2"/>
    <n v="0"/>
    <n v="2"/>
  </r>
  <r>
    <x v="1"/>
    <x v="1"/>
    <x v="0"/>
    <x v="614"/>
    <x v="0"/>
    <n v="8"/>
    <n v="4"/>
    <s v="Technical Degree"/>
    <x v="0"/>
    <n v="1138"/>
    <x v="2"/>
    <x v="1"/>
    <n v="56"/>
    <n v="2"/>
    <n v="4"/>
    <s v="Sales Executive"/>
    <x v="1"/>
    <s v="Married"/>
    <x v="776"/>
    <n v="11879"/>
    <n v="6"/>
    <x v="0"/>
    <x v="1"/>
    <n v="17"/>
    <n v="3"/>
    <n v="2"/>
    <n v="80"/>
    <n v="1"/>
    <n v="22"/>
    <n v="3"/>
    <n v="3"/>
    <n v="9"/>
    <n v="8"/>
    <n v="2"/>
    <n v="3"/>
  </r>
  <r>
    <x v="13"/>
    <x v="1"/>
    <x v="1"/>
    <x v="594"/>
    <x v="1"/>
    <n v="2"/>
    <n v="2"/>
    <s v="Life Sciences"/>
    <x v="0"/>
    <n v="1140"/>
    <x v="2"/>
    <x v="1"/>
    <n v="95"/>
    <n v="3"/>
    <n v="2"/>
    <s v="Manufacturing Director"/>
    <x v="2"/>
    <s v="Single"/>
    <x v="777"/>
    <n v="15834"/>
    <n v="2"/>
    <x v="0"/>
    <x v="1"/>
    <n v="11"/>
    <n v="3"/>
    <n v="4"/>
    <n v="80"/>
    <n v="0"/>
    <n v="5"/>
    <n v="3"/>
    <n v="2"/>
    <n v="3"/>
    <n v="2"/>
    <n v="0"/>
    <n v="2"/>
  </r>
  <r>
    <x v="11"/>
    <x v="1"/>
    <x v="1"/>
    <x v="615"/>
    <x v="1"/>
    <n v="10"/>
    <n v="3"/>
    <s v="Life Sciences"/>
    <x v="0"/>
    <n v="1143"/>
    <x v="2"/>
    <x v="0"/>
    <n v="61"/>
    <n v="3"/>
    <n v="1"/>
    <s v="Research Scientist"/>
    <x v="1"/>
    <s v="Divorced"/>
    <x v="778"/>
    <n v="17940"/>
    <n v="0"/>
    <x v="0"/>
    <x v="1"/>
    <n v="14"/>
    <n v="3"/>
    <n v="4"/>
    <n v="80"/>
    <n v="2"/>
    <n v="8"/>
    <n v="2"/>
    <n v="2"/>
    <n v="7"/>
    <n v="5"/>
    <n v="1"/>
    <n v="1"/>
  </r>
  <r>
    <x v="19"/>
    <x v="1"/>
    <x v="0"/>
    <x v="540"/>
    <x v="1"/>
    <n v="29"/>
    <n v="3"/>
    <s v="Medical"/>
    <x v="0"/>
    <n v="1148"/>
    <x v="0"/>
    <x v="1"/>
    <n v="56"/>
    <n v="1"/>
    <n v="2"/>
    <s v="Laboratory Technician"/>
    <x v="0"/>
    <s v="Single"/>
    <x v="779"/>
    <n v="9558"/>
    <n v="4"/>
    <x v="0"/>
    <x v="1"/>
    <n v="19"/>
    <n v="3"/>
    <n v="1"/>
    <n v="80"/>
    <n v="0"/>
    <n v="16"/>
    <n v="3"/>
    <n v="3"/>
    <n v="1"/>
    <n v="0"/>
    <n v="0"/>
    <n v="0"/>
  </r>
  <r>
    <x v="11"/>
    <x v="1"/>
    <x v="0"/>
    <x v="616"/>
    <x v="1"/>
    <n v="8"/>
    <n v="1"/>
    <s v="Medical"/>
    <x v="0"/>
    <n v="1150"/>
    <x v="0"/>
    <x v="1"/>
    <n v="79"/>
    <n v="2"/>
    <n v="2"/>
    <s v="Manufacturing Director"/>
    <x v="0"/>
    <s v="Married"/>
    <x v="780"/>
    <n v="17689"/>
    <n v="1"/>
    <x v="0"/>
    <x v="0"/>
    <n v="15"/>
    <n v="3"/>
    <n v="3"/>
    <n v="80"/>
    <n v="1"/>
    <n v="10"/>
    <n v="2"/>
    <n v="2"/>
    <n v="10"/>
    <n v="7"/>
    <n v="1"/>
    <n v="2"/>
  </r>
  <r>
    <x v="8"/>
    <x v="1"/>
    <x v="0"/>
    <x v="617"/>
    <x v="2"/>
    <n v="1"/>
    <n v="3"/>
    <s v="Human Resources"/>
    <x v="0"/>
    <n v="1152"/>
    <x v="1"/>
    <x v="1"/>
    <n v="37"/>
    <n v="4"/>
    <n v="1"/>
    <s v="Human Resources"/>
    <x v="2"/>
    <s v="Married"/>
    <x v="781"/>
    <n v="6004"/>
    <n v="1"/>
    <x v="0"/>
    <x v="1"/>
    <n v="13"/>
    <n v="3"/>
    <n v="4"/>
    <n v="80"/>
    <n v="1"/>
    <n v="7"/>
    <n v="2"/>
    <n v="4"/>
    <n v="7"/>
    <n v="6"/>
    <n v="5"/>
    <n v="0"/>
  </r>
  <r>
    <x v="14"/>
    <x v="1"/>
    <x v="1"/>
    <x v="618"/>
    <x v="1"/>
    <n v="6"/>
    <n v="3"/>
    <s v="Life Sciences"/>
    <x v="0"/>
    <n v="1154"/>
    <x v="1"/>
    <x v="1"/>
    <n v="39"/>
    <n v="2"/>
    <n v="1"/>
    <s v="Research Scientist"/>
    <x v="2"/>
    <s v="Divorced"/>
    <x v="68"/>
    <n v="22088"/>
    <n v="1"/>
    <x v="0"/>
    <x v="0"/>
    <n v="14"/>
    <n v="3"/>
    <n v="4"/>
    <n v="80"/>
    <n v="1"/>
    <n v="3"/>
    <n v="2"/>
    <n v="3"/>
    <n v="3"/>
    <n v="1"/>
    <n v="0"/>
    <n v="2"/>
  </r>
  <r>
    <x v="41"/>
    <x v="0"/>
    <x v="2"/>
    <x v="578"/>
    <x v="1"/>
    <n v="8"/>
    <n v="1"/>
    <s v="Medical"/>
    <x v="0"/>
    <n v="1156"/>
    <x v="1"/>
    <x v="1"/>
    <n v="80"/>
    <n v="3"/>
    <n v="1"/>
    <s v="Laboratory Technician"/>
    <x v="2"/>
    <s v="Single"/>
    <x v="782"/>
    <n v="13556"/>
    <n v="1"/>
    <x v="0"/>
    <x v="1"/>
    <n v="12"/>
    <n v="3"/>
    <n v="4"/>
    <n v="80"/>
    <n v="0"/>
    <n v="0"/>
    <n v="0"/>
    <n v="3"/>
    <n v="0"/>
    <n v="0"/>
    <n v="0"/>
    <n v="0"/>
  </r>
  <r>
    <x v="3"/>
    <x v="0"/>
    <x v="0"/>
    <x v="619"/>
    <x v="0"/>
    <n v="9"/>
    <n v="4"/>
    <s v="Marketing"/>
    <x v="0"/>
    <n v="1157"/>
    <x v="3"/>
    <x v="0"/>
    <n v="77"/>
    <n v="3"/>
    <n v="2"/>
    <s v="Sales Executive"/>
    <x v="3"/>
    <s v="Single"/>
    <x v="783"/>
    <n v="18385"/>
    <n v="0"/>
    <x v="0"/>
    <x v="0"/>
    <n v="17"/>
    <n v="3"/>
    <n v="1"/>
    <n v="80"/>
    <n v="0"/>
    <n v="6"/>
    <n v="3"/>
    <n v="3"/>
    <n v="5"/>
    <n v="2"/>
    <n v="0"/>
    <n v="3"/>
  </r>
  <r>
    <x v="0"/>
    <x v="1"/>
    <x v="0"/>
    <x v="456"/>
    <x v="1"/>
    <n v="12"/>
    <n v="4"/>
    <s v="Life Sciences"/>
    <x v="0"/>
    <n v="1158"/>
    <x v="0"/>
    <x v="1"/>
    <n v="46"/>
    <n v="3"/>
    <n v="1"/>
    <s v="Laboratory Technician"/>
    <x v="0"/>
    <s v="Married"/>
    <x v="784"/>
    <n v="9051"/>
    <n v="3"/>
    <x v="0"/>
    <x v="0"/>
    <n v="11"/>
    <n v="3"/>
    <n v="1"/>
    <n v="80"/>
    <n v="1"/>
    <n v="6"/>
    <n v="4"/>
    <n v="3"/>
    <n v="1"/>
    <n v="0"/>
    <n v="0"/>
    <n v="0"/>
  </r>
  <r>
    <x v="12"/>
    <x v="0"/>
    <x v="1"/>
    <x v="620"/>
    <x v="1"/>
    <n v="15"/>
    <n v="3"/>
    <s v="Medical"/>
    <x v="0"/>
    <n v="1160"/>
    <x v="1"/>
    <x v="1"/>
    <n v="72"/>
    <n v="3"/>
    <n v="1"/>
    <s v="Laboratory Technician"/>
    <x v="2"/>
    <s v="Married"/>
    <x v="353"/>
    <n v="6233"/>
    <n v="1"/>
    <x v="0"/>
    <x v="1"/>
    <n v="12"/>
    <n v="3"/>
    <n v="3"/>
    <n v="80"/>
    <n v="1"/>
    <n v="2"/>
    <n v="5"/>
    <n v="2"/>
    <n v="2"/>
    <n v="2"/>
    <n v="2"/>
    <n v="2"/>
  </r>
  <r>
    <x v="2"/>
    <x v="1"/>
    <x v="0"/>
    <x v="621"/>
    <x v="1"/>
    <n v="25"/>
    <n v="2"/>
    <s v="Medical"/>
    <x v="0"/>
    <n v="1161"/>
    <x v="1"/>
    <x v="0"/>
    <n v="52"/>
    <n v="2"/>
    <n v="2"/>
    <s v="Healthcare Representative"/>
    <x v="0"/>
    <s v="Divorced"/>
    <x v="785"/>
    <n v="17171"/>
    <n v="7"/>
    <x v="0"/>
    <x v="1"/>
    <n v="13"/>
    <n v="3"/>
    <n v="3"/>
    <n v="80"/>
    <n v="2"/>
    <n v="9"/>
    <n v="2"/>
    <n v="3"/>
    <n v="6"/>
    <n v="2"/>
    <n v="1"/>
    <n v="3"/>
  </r>
  <r>
    <x v="4"/>
    <x v="1"/>
    <x v="0"/>
    <x v="622"/>
    <x v="1"/>
    <n v="6"/>
    <n v="3"/>
    <s v="Life Sciences"/>
    <x v="0"/>
    <n v="1162"/>
    <x v="2"/>
    <x v="1"/>
    <n v="55"/>
    <n v="2"/>
    <n v="1"/>
    <s v="Research Scientist"/>
    <x v="2"/>
    <s v="Married"/>
    <x v="786"/>
    <n v="7950"/>
    <n v="1"/>
    <x v="0"/>
    <x v="1"/>
    <n v="13"/>
    <n v="3"/>
    <n v="3"/>
    <n v="80"/>
    <n v="1"/>
    <n v="4"/>
    <n v="0"/>
    <n v="3"/>
    <n v="4"/>
    <n v="2"/>
    <n v="2"/>
    <n v="2"/>
  </r>
  <r>
    <x v="13"/>
    <x v="1"/>
    <x v="0"/>
    <x v="84"/>
    <x v="0"/>
    <n v="9"/>
    <n v="1"/>
    <s v="Life Sciences"/>
    <x v="0"/>
    <n v="1163"/>
    <x v="0"/>
    <x v="0"/>
    <n v="70"/>
    <n v="3"/>
    <n v="2"/>
    <s v="Sales Executive"/>
    <x v="2"/>
    <s v="Married"/>
    <x v="787"/>
    <n v="5829"/>
    <n v="1"/>
    <x v="0"/>
    <x v="1"/>
    <n v="20"/>
    <n v="4"/>
    <n v="1"/>
    <n v="80"/>
    <n v="0"/>
    <n v="6"/>
    <n v="3"/>
    <n v="2"/>
    <n v="6"/>
    <n v="5"/>
    <n v="1"/>
    <n v="3"/>
  </r>
  <r>
    <x v="10"/>
    <x v="1"/>
    <x v="0"/>
    <x v="125"/>
    <x v="2"/>
    <n v="8"/>
    <n v="4"/>
    <s v="Technical Degree"/>
    <x v="0"/>
    <n v="1164"/>
    <x v="1"/>
    <x v="1"/>
    <n v="100"/>
    <n v="3"/>
    <n v="1"/>
    <s v="Human Resources"/>
    <x v="2"/>
    <s v="Single"/>
    <x v="788"/>
    <n v="7108"/>
    <n v="1"/>
    <x v="0"/>
    <x v="1"/>
    <n v="17"/>
    <n v="3"/>
    <n v="2"/>
    <n v="80"/>
    <n v="0"/>
    <n v="6"/>
    <n v="2"/>
    <n v="1"/>
    <n v="5"/>
    <n v="4"/>
    <n v="1"/>
    <n v="4"/>
  </r>
  <r>
    <x v="11"/>
    <x v="0"/>
    <x v="0"/>
    <x v="47"/>
    <x v="0"/>
    <n v="23"/>
    <n v="1"/>
    <s v="Life Sciences"/>
    <x v="0"/>
    <n v="1165"/>
    <x v="2"/>
    <x v="0"/>
    <n v="45"/>
    <n v="2"/>
    <n v="3"/>
    <s v="Sales Executive"/>
    <x v="3"/>
    <s v="Married"/>
    <x v="789"/>
    <n v="11162"/>
    <n v="1"/>
    <x v="0"/>
    <x v="1"/>
    <n v="13"/>
    <n v="3"/>
    <n v="1"/>
    <n v="80"/>
    <n v="1"/>
    <n v="11"/>
    <n v="3"/>
    <n v="1"/>
    <n v="11"/>
    <n v="8"/>
    <n v="3"/>
    <n v="10"/>
  </r>
  <r>
    <x v="32"/>
    <x v="1"/>
    <x v="1"/>
    <x v="321"/>
    <x v="1"/>
    <n v="9"/>
    <n v="4"/>
    <s v="Medical"/>
    <x v="0"/>
    <n v="1166"/>
    <x v="0"/>
    <x v="0"/>
    <n v="88"/>
    <n v="3"/>
    <n v="3"/>
    <s v="Research Director"/>
    <x v="2"/>
    <s v="Single"/>
    <x v="790"/>
    <n v="13782"/>
    <n v="9"/>
    <x v="0"/>
    <x v="1"/>
    <n v="17"/>
    <n v="3"/>
    <n v="3"/>
    <n v="80"/>
    <n v="0"/>
    <n v="20"/>
    <n v="3"/>
    <n v="2"/>
    <n v="18"/>
    <n v="7"/>
    <n v="2"/>
    <n v="13"/>
  </r>
  <r>
    <x v="19"/>
    <x v="0"/>
    <x v="1"/>
    <x v="623"/>
    <x v="0"/>
    <n v="12"/>
    <n v="3"/>
    <s v="Life Sciences"/>
    <x v="0"/>
    <n v="1167"/>
    <x v="1"/>
    <x v="1"/>
    <n v="44"/>
    <n v="3"/>
    <n v="4"/>
    <s v="Sales Executive"/>
    <x v="3"/>
    <s v="Single"/>
    <x v="791"/>
    <n v="2447"/>
    <n v="0"/>
    <x v="0"/>
    <x v="0"/>
    <n v="12"/>
    <n v="3"/>
    <n v="2"/>
    <n v="80"/>
    <n v="0"/>
    <n v="22"/>
    <n v="2"/>
    <n v="2"/>
    <n v="21"/>
    <n v="9"/>
    <n v="13"/>
    <n v="14"/>
  </r>
  <r>
    <x v="19"/>
    <x v="1"/>
    <x v="0"/>
    <x v="624"/>
    <x v="0"/>
    <n v="4"/>
    <n v="4"/>
    <s v="Marketing"/>
    <x v="0"/>
    <n v="1171"/>
    <x v="0"/>
    <x v="1"/>
    <n v="45"/>
    <n v="3"/>
    <n v="2"/>
    <s v="Sales Executive"/>
    <x v="3"/>
    <s v="Single"/>
    <x v="792"/>
    <n v="2253"/>
    <n v="7"/>
    <x v="0"/>
    <x v="1"/>
    <n v="13"/>
    <n v="3"/>
    <n v="4"/>
    <n v="80"/>
    <n v="0"/>
    <n v="9"/>
    <n v="3"/>
    <n v="4"/>
    <n v="6"/>
    <n v="4"/>
    <n v="1"/>
    <n v="5"/>
  </r>
  <r>
    <x v="10"/>
    <x v="1"/>
    <x v="0"/>
    <x v="343"/>
    <x v="1"/>
    <n v="1"/>
    <n v="4"/>
    <s v="Medical"/>
    <x v="0"/>
    <n v="1172"/>
    <x v="2"/>
    <x v="1"/>
    <n v="58"/>
    <n v="2"/>
    <n v="1"/>
    <s v="Laboratory Technician"/>
    <x v="2"/>
    <s v="Married"/>
    <x v="384"/>
    <n v="16340"/>
    <n v="6"/>
    <x v="0"/>
    <x v="1"/>
    <n v="12"/>
    <n v="3"/>
    <n v="2"/>
    <n v="80"/>
    <n v="1"/>
    <n v="10"/>
    <n v="2"/>
    <n v="3"/>
    <n v="8"/>
    <n v="0"/>
    <n v="1"/>
    <n v="7"/>
  </r>
  <r>
    <x v="17"/>
    <x v="1"/>
    <x v="0"/>
    <x v="28"/>
    <x v="1"/>
    <n v="24"/>
    <n v="3"/>
    <s v="Medical"/>
    <x v="0"/>
    <n v="1173"/>
    <x v="2"/>
    <x v="1"/>
    <n v="49"/>
    <n v="3"/>
    <n v="1"/>
    <s v="Laboratory Technician"/>
    <x v="1"/>
    <s v="Single"/>
    <x v="793"/>
    <n v="6409"/>
    <n v="8"/>
    <x v="0"/>
    <x v="1"/>
    <n v="22"/>
    <n v="4"/>
    <n v="4"/>
    <n v="80"/>
    <n v="0"/>
    <n v="6"/>
    <n v="2"/>
    <n v="3"/>
    <n v="4"/>
    <n v="3"/>
    <n v="1"/>
    <n v="2"/>
  </r>
  <r>
    <x v="14"/>
    <x v="0"/>
    <x v="0"/>
    <x v="354"/>
    <x v="1"/>
    <n v="12"/>
    <n v="1"/>
    <s v="Life Sciences"/>
    <x v="0"/>
    <n v="1175"/>
    <x v="1"/>
    <x v="0"/>
    <n v="79"/>
    <n v="3"/>
    <n v="1"/>
    <s v="Laboratory Technician"/>
    <x v="0"/>
    <s v="Married"/>
    <x v="605"/>
    <n v="22955"/>
    <n v="1"/>
    <x v="0"/>
    <x v="0"/>
    <n v="11"/>
    <n v="3"/>
    <n v="4"/>
    <n v="80"/>
    <n v="0"/>
    <n v="1"/>
    <n v="4"/>
    <n v="2"/>
    <n v="1"/>
    <n v="1"/>
    <n v="0"/>
    <n v="0"/>
  </r>
  <r>
    <x v="25"/>
    <x v="1"/>
    <x v="0"/>
    <x v="625"/>
    <x v="1"/>
    <n v="3"/>
    <n v="4"/>
    <s v="Medical"/>
    <x v="0"/>
    <n v="1177"/>
    <x v="3"/>
    <x v="1"/>
    <n v="82"/>
    <n v="4"/>
    <n v="1"/>
    <s v="Laboratory Technician"/>
    <x v="0"/>
    <s v="Married"/>
    <x v="794"/>
    <n v="13421"/>
    <n v="1"/>
    <x v="0"/>
    <x v="1"/>
    <n v="22"/>
    <n v="4"/>
    <n v="2"/>
    <n v="80"/>
    <n v="1"/>
    <n v="8"/>
    <n v="2"/>
    <n v="3"/>
    <n v="8"/>
    <n v="7"/>
    <n v="0"/>
    <n v="7"/>
  </r>
  <r>
    <x v="7"/>
    <x v="1"/>
    <x v="0"/>
    <x v="38"/>
    <x v="0"/>
    <n v="10"/>
    <n v="3"/>
    <s v="Marketing"/>
    <x v="0"/>
    <n v="1179"/>
    <x v="1"/>
    <x v="1"/>
    <n v="72"/>
    <n v="2"/>
    <n v="2"/>
    <s v="Sales Executive"/>
    <x v="2"/>
    <s v="Married"/>
    <x v="795"/>
    <n v="2706"/>
    <n v="1"/>
    <x v="0"/>
    <x v="1"/>
    <n v="18"/>
    <n v="3"/>
    <n v="1"/>
    <n v="80"/>
    <n v="1"/>
    <n v="10"/>
    <n v="3"/>
    <n v="3"/>
    <n v="10"/>
    <n v="3"/>
    <n v="1"/>
    <n v="4"/>
  </r>
  <r>
    <x v="32"/>
    <x v="1"/>
    <x v="1"/>
    <x v="626"/>
    <x v="1"/>
    <n v="26"/>
    <n v="2"/>
    <s v="Medical"/>
    <x v="0"/>
    <n v="1180"/>
    <x v="1"/>
    <x v="0"/>
    <n v="92"/>
    <n v="2"/>
    <n v="2"/>
    <s v="Research Scientist"/>
    <x v="0"/>
    <s v="Married"/>
    <x v="796"/>
    <n v="21203"/>
    <n v="3"/>
    <x v="0"/>
    <x v="0"/>
    <n v="13"/>
    <n v="3"/>
    <n v="4"/>
    <n v="80"/>
    <n v="1"/>
    <n v="16"/>
    <n v="3"/>
    <n v="1"/>
    <n v="1"/>
    <n v="1"/>
    <n v="0"/>
    <n v="0"/>
  </r>
  <r>
    <x v="10"/>
    <x v="1"/>
    <x v="0"/>
    <x v="627"/>
    <x v="1"/>
    <n v="2"/>
    <n v="3"/>
    <s v="Life Sciences"/>
    <x v="0"/>
    <n v="1182"/>
    <x v="1"/>
    <x v="1"/>
    <n v="44"/>
    <n v="2"/>
    <n v="3"/>
    <s v="Manufacturing Director"/>
    <x v="1"/>
    <s v="Divorced"/>
    <x v="797"/>
    <n v="19588"/>
    <n v="2"/>
    <x v="0"/>
    <x v="1"/>
    <n v="18"/>
    <n v="3"/>
    <n v="2"/>
    <n v="80"/>
    <n v="1"/>
    <n v="15"/>
    <n v="2"/>
    <n v="4"/>
    <n v="7"/>
    <n v="7"/>
    <n v="6"/>
    <n v="4"/>
  </r>
  <r>
    <x v="13"/>
    <x v="1"/>
    <x v="1"/>
    <x v="88"/>
    <x v="1"/>
    <n v="1"/>
    <n v="3"/>
    <s v="Medical"/>
    <x v="0"/>
    <n v="1184"/>
    <x v="2"/>
    <x v="1"/>
    <n v="97"/>
    <n v="2"/>
    <n v="2"/>
    <s v="Healthcare Representative"/>
    <x v="3"/>
    <s v="Single"/>
    <x v="798"/>
    <n v="25755"/>
    <n v="0"/>
    <x v="0"/>
    <x v="1"/>
    <n v="20"/>
    <n v="4"/>
    <n v="3"/>
    <n v="80"/>
    <n v="0"/>
    <n v="14"/>
    <n v="3"/>
    <n v="3"/>
    <n v="13"/>
    <n v="9"/>
    <n v="4"/>
    <n v="9"/>
  </r>
  <r>
    <x v="10"/>
    <x v="1"/>
    <x v="1"/>
    <x v="262"/>
    <x v="1"/>
    <n v="4"/>
    <n v="4"/>
    <s v="Other"/>
    <x v="0"/>
    <n v="1185"/>
    <x v="2"/>
    <x v="1"/>
    <n v="47"/>
    <n v="2"/>
    <n v="1"/>
    <s v="Laboratory Technician"/>
    <x v="0"/>
    <s v="Married"/>
    <x v="799"/>
    <n v="26537"/>
    <n v="1"/>
    <x v="0"/>
    <x v="1"/>
    <n v="13"/>
    <n v="3"/>
    <n v="2"/>
    <n v="80"/>
    <n v="1"/>
    <n v="2"/>
    <n v="2"/>
    <n v="4"/>
    <n v="2"/>
    <n v="2"/>
    <n v="2"/>
    <n v="2"/>
  </r>
  <r>
    <x v="23"/>
    <x v="0"/>
    <x v="0"/>
    <x v="257"/>
    <x v="0"/>
    <n v="9"/>
    <n v="3"/>
    <s v="Marketing"/>
    <x v="0"/>
    <n v="1188"/>
    <x v="3"/>
    <x v="0"/>
    <n v="85"/>
    <n v="1"/>
    <n v="2"/>
    <s v="Sales Executive"/>
    <x v="2"/>
    <s v="Single"/>
    <x v="800"/>
    <n v="9489"/>
    <n v="8"/>
    <x v="0"/>
    <x v="1"/>
    <n v="13"/>
    <n v="3"/>
    <n v="2"/>
    <n v="80"/>
    <n v="0"/>
    <n v="7"/>
    <n v="2"/>
    <n v="2"/>
    <n v="4"/>
    <n v="3"/>
    <n v="1"/>
    <n v="3"/>
  </r>
  <r>
    <x v="5"/>
    <x v="1"/>
    <x v="2"/>
    <x v="628"/>
    <x v="0"/>
    <n v="2"/>
    <n v="1"/>
    <s v="Life Sciences"/>
    <x v="0"/>
    <n v="1190"/>
    <x v="1"/>
    <x v="0"/>
    <n v="76"/>
    <n v="3"/>
    <n v="1"/>
    <s v="Sales Representative"/>
    <x v="3"/>
    <s v="Divorced"/>
    <x v="801"/>
    <n v="14947"/>
    <n v="1"/>
    <x v="0"/>
    <x v="1"/>
    <n v="12"/>
    <n v="3"/>
    <n v="3"/>
    <n v="80"/>
    <n v="3"/>
    <n v="1"/>
    <n v="3"/>
    <n v="3"/>
    <n v="1"/>
    <n v="0"/>
    <n v="0"/>
    <n v="0"/>
  </r>
  <r>
    <x v="29"/>
    <x v="1"/>
    <x v="0"/>
    <x v="616"/>
    <x v="1"/>
    <n v="4"/>
    <n v="4"/>
    <s v="Technical Degree"/>
    <x v="0"/>
    <n v="1191"/>
    <x v="2"/>
    <x v="0"/>
    <n v="92"/>
    <n v="3"/>
    <n v="5"/>
    <s v="Manager"/>
    <x v="3"/>
    <s v="Divorced"/>
    <x v="802"/>
    <n v="18575"/>
    <n v="4"/>
    <x v="0"/>
    <x v="1"/>
    <n v="13"/>
    <n v="3"/>
    <n v="4"/>
    <n v="80"/>
    <n v="1"/>
    <n v="28"/>
    <n v="2"/>
    <n v="3"/>
    <n v="5"/>
    <n v="2"/>
    <n v="4"/>
    <n v="2"/>
  </r>
  <r>
    <x v="11"/>
    <x v="1"/>
    <x v="0"/>
    <x v="216"/>
    <x v="1"/>
    <n v="6"/>
    <n v="1"/>
    <s v="Medical"/>
    <x v="0"/>
    <n v="1192"/>
    <x v="0"/>
    <x v="0"/>
    <n v="54"/>
    <n v="3"/>
    <n v="1"/>
    <s v="Laboratory Technician"/>
    <x v="0"/>
    <s v="Married"/>
    <x v="803"/>
    <n v="26342"/>
    <n v="1"/>
    <x v="0"/>
    <x v="1"/>
    <n v="13"/>
    <n v="3"/>
    <n v="1"/>
    <n v="80"/>
    <n v="1"/>
    <n v="10"/>
    <n v="5"/>
    <n v="3"/>
    <n v="10"/>
    <n v="8"/>
    <n v="0"/>
    <n v="8"/>
  </r>
  <r>
    <x v="37"/>
    <x v="1"/>
    <x v="0"/>
    <x v="350"/>
    <x v="1"/>
    <n v="9"/>
    <n v="2"/>
    <s v="Life Sciences"/>
    <x v="0"/>
    <n v="1193"/>
    <x v="1"/>
    <x v="1"/>
    <n v="54"/>
    <n v="3"/>
    <n v="1"/>
    <s v="Research Scientist"/>
    <x v="3"/>
    <s v="Single"/>
    <x v="804"/>
    <n v="7172"/>
    <n v="1"/>
    <x v="0"/>
    <x v="1"/>
    <n v="25"/>
    <n v="4"/>
    <n v="3"/>
    <n v="80"/>
    <n v="0"/>
    <n v="1"/>
    <n v="4"/>
    <n v="3"/>
    <n v="1"/>
    <n v="1"/>
    <n v="0"/>
    <n v="0"/>
  </r>
  <r>
    <x v="28"/>
    <x v="1"/>
    <x v="0"/>
    <x v="629"/>
    <x v="1"/>
    <n v="7"/>
    <n v="3"/>
    <s v="Medical"/>
    <x v="0"/>
    <n v="1195"/>
    <x v="3"/>
    <x v="0"/>
    <n v="83"/>
    <n v="3"/>
    <n v="1"/>
    <s v="Research Scientist"/>
    <x v="2"/>
    <s v="Married"/>
    <x v="805"/>
    <n v="20100"/>
    <n v="4"/>
    <x v="0"/>
    <x v="0"/>
    <n v="19"/>
    <n v="3"/>
    <n v="3"/>
    <n v="80"/>
    <n v="1"/>
    <n v="7"/>
    <n v="2"/>
    <n v="2"/>
    <n v="3"/>
    <n v="2"/>
    <n v="0"/>
    <n v="2"/>
  </r>
  <r>
    <x v="2"/>
    <x v="1"/>
    <x v="0"/>
    <x v="630"/>
    <x v="1"/>
    <n v="1"/>
    <n v="3"/>
    <s v="Life Sciences"/>
    <x v="0"/>
    <n v="1196"/>
    <x v="2"/>
    <x v="0"/>
    <n v="56"/>
    <n v="2"/>
    <n v="2"/>
    <s v="Manufacturing Director"/>
    <x v="0"/>
    <s v="Married"/>
    <x v="806"/>
    <n v="9961"/>
    <n v="1"/>
    <x v="0"/>
    <x v="1"/>
    <n v="13"/>
    <n v="3"/>
    <n v="2"/>
    <n v="80"/>
    <n v="1"/>
    <n v="14"/>
    <n v="2"/>
    <n v="2"/>
    <n v="14"/>
    <n v="8"/>
    <n v="3"/>
    <n v="11"/>
  </r>
  <r>
    <x v="35"/>
    <x v="1"/>
    <x v="0"/>
    <x v="476"/>
    <x v="1"/>
    <n v="3"/>
    <n v="3"/>
    <s v="Life Sciences"/>
    <x v="0"/>
    <n v="1198"/>
    <x v="3"/>
    <x v="1"/>
    <n v="87"/>
    <n v="2"/>
    <n v="1"/>
    <s v="Laboratory Technician"/>
    <x v="2"/>
    <s v="Single"/>
    <x v="807"/>
    <n v="12828"/>
    <n v="1"/>
    <x v="0"/>
    <x v="1"/>
    <n v="12"/>
    <n v="3"/>
    <n v="1"/>
    <n v="80"/>
    <n v="0"/>
    <n v="2"/>
    <n v="2"/>
    <n v="2"/>
    <n v="2"/>
    <n v="2"/>
    <n v="1"/>
    <n v="2"/>
  </r>
  <r>
    <x v="20"/>
    <x v="0"/>
    <x v="0"/>
    <x v="53"/>
    <x v="1"/>
    <n v="10"/>
    <n v="4"/>
    <s v="Life Sciences"/>
    <x v="0"/>
    <n v="1200"/>
    <x v="1"/>
    <x v="1"/>
    <n v="96"/>
    <n v="3"/>
    <n v="1"/>
    <s v="Research Scientist"/>
    <x v="2"/>
    <s v="Single"/>
    <x v="808"/>
    <n v="10826"/>
    <n v="1"/>
    <x v="0"/>
    <x v="0"/>
    <n v="11"/>
    <n v="3"/>
    <n v="3"/>
    <n v="80"/>
    <n v="0"/>
    <n v="6"/>
    <n v="4"/>
    <n v="3"/>
    <n v="6"/>
    <n v="4"/>
    <n v="0"/>
    <n v="2"/>
  </r>
  <r>
    <x v="16"/>
    <x v="1"/>
    <x v="0"/>
    <x v="64"/>
    <x v="1"/>
    <n v="7"/>
    <n v="2"/>
    <s v="Medical"/>
    <x v="0"/>
    <n v="1201"/>
    <x v="2"/>
    <x v="0"/>
    <n v="50"/>
    <n v="3"/>
    <n v="5"/>
    <s v="Manager"/>
    <x v="2"/>
    <s v="Divorced"/>
    <x v="809"/>
    <n v="18640"/>
    <n v="3"/>
    <x v="0"/>
    <x v="1"/>
    <n v="18"/>
    <n v="3"/>
    <n v="2"/>
    <n v="80"/>
    <n v="1"/>
    <n v="26"/>
    <n v="6"/>
    <n v="3"/>
    <n v="7"/>
    <n v="7"/>
    <n v="4"/>
    <n v="7"/>
  </r>
  <r>
    <x v="11"/>
    <x v="1"/>
    <x v="0"/>
    <x v="631"/>
    <x v="1"/>
    <n v="15"/>
    <n v="1"/>
    <s v="Life Sciences"/>
    <x v="0"/>
    <n v="1202"/>
    <x v="0"/>
    <x v="0"/>
    <n v="69"/>
    <n v="1"/>
    <n v="1"/>
    <s v="Research Scientist"/>
    <x v="0"/>
    <s v="Married"/>
    <x v="810"/>
    <n v="26933"/>
    <n v="0"/>
    <x v="0"/>
    <x v="0"/>
    <n v="18"/>
    <n v="3"/>
    <n v="1"/>
    <n v="80"/>
    <n v="1"/>
    <n v="6"/>
    <n v="2"/>
    <n v="2"/>
    <n v="5"/>
    <n v="4"/>
    <n v="1"/>
    <n v="3"/>
  </r>
  <r>
    <x v="15"/>
    <x v="0"/>
    <x v="1"/>
    <x v="155"/>
    <x v="1"/>
    <n v="3"/>
    <n v="4"/>
    <s v="Life Sciences"/>
    <x v="0"/>
    <n v="1203"/>
    <x v="1"/>
    <x v="1"/>
    <n v="48"/>
    <n v="2"/>
    <n v="1"/>
    <s v="Research Scientist"/>
    <x v="0"/>
    <s v="Married"/>
    <x v="811"/>
    <n v="4223"/>
    <n v="0"/>
    <x v="0"/>
    <x v="0"/>
    <n v="11"/>
    <n v="3"/>
    <n v="2"/>
    <n v="80"/>
    <n v="1"/>
    <n v="1"/>
    <n v="5"/>
    <n v="3"/>
    <n v="0"/>
    <n v="0"/>
    <n v="0"/>
    <n v="0"/>
  </r>
  <r>
    <x v="21"/>
    <x v="1"/>
    <x v="0"/>
    <x v="632"/>
    <x v="0"/>
    <n v="2"/>
    <n v="3"/>
    <s v="Marketing"/>
    <x v="0"/>
    <n v="1204"/>
    <x v="1"/>
    <x v="0"/>
    <n v="69"/>
    <n v="3"/>
    <n v="4"/>
    <s v="Manager"/>
    <x v="3"/>
    <s v="Married"/>
    <x v="812"/>
    <n v="24097"/>
    <n v="8"/>
    <x v="0"/>
    <x v="1"/>
    <n v="23"/>
    <n v="4"/>
    <n v="1"/>
    <n v="80"/>
    <n v="0"/>
    <n v="28"/>
    <n v="2"/>
    <n v="3"/>
    <n v="26"/>
    <n v="15"/>
    <n v="15"/>
    <n v="9"/>
  </r>
  <r>
    <x v="20"/>
    <x v="1"/>
    <x v="2"/>
    <x v="81"/>
    <x v="1"/>
    <n v="17"/>
    <n v="3"/>
    <s v="Life Sciences"/>
    <x v="0"/>
    <n v="1206"/>
    <x v="2"/>
    <x v="1"/>
    <n v="74"/>
    <n v="1"/>
    <n v="1"/>
    <s v="Research Scientist"/>
    <x v="2"/>
    <s v="Single"/>
    <x v="813"/>
    <n v="4279"/>
    <n v="2"/>
    <x v="0"/>
    <x v="1"/>
    <n v="13"/>
    <n v="3"/>
    <n v="4"/>
    <n v="80"/>
    <n v="0"/>
    <n v="6"/>
    <n v="3"/>
    <n v="3"/>
    <n v="0"/>
    <n v="0"/>
    <n v="0"/>
    <n v="0"/>
  </r>
  <r>
    <x v="3"/>
    <x v="1"/>
    <x v="0"/>
    <x v="124"/>
    <x v="2"/>
    <n v="2"/>
    <n v="3"/>
    <s v="Human Resources"/>
    <x v="0"/>
    <n v="1207"/>
    <x v="0"/>
    <x v="1"/>
    <n v="99"/>
    <n v="3"/>
    <n v="1"/>
    <s v="Human Resources"/>
    <x v="2"/>
    <s v="Married"/>
    <x v="814"/>
    <n v="8429"/>
    <n v="1"/>
    <x v="0"/>
    <x v="1"/>
    <n v="13"/>
    <n v="3"/>
    <n v="4"/>
    <n v="80"/>
    <n v="1"/>
    <n v="5"/>
    <n v="2"/>
    <n v="3"/>
    <n v="5"/>
    <n v="4"/>
    <n v="1"/>
    <n v="4"/>
  </r>
  <r>
    <x v="0"/>
    <x v="0"/>
    <x v="2"/>
    <x v="277"/>
    <x v="1"/>
    <n v="5"/>
    <n v="2"/>
    <s v="Life Sciences"/>
    <x v="0"/>
    <n v="1210"/>
    <x v="3"/>
    <x v="1"/>
    <n v="95"/>
    <n v="2"/>
    <n v="1"/>
    <s v="Research Scientist"/>
    <x v="3"/>
    <s v="Divorced"/>
    <x v="815"/>
    <n v="20293"/>
    <n v="6"/>
    <x v="0"/>
    <x v="1"/>
    <n v="17"/>
    <n v="3"/>
    <n v="1"/>
    <n v="80"/>
    <n v="1"/>
    <n v="5"/>
    <n v="2"/>
    <n v="1"/>
    <n v="1"/>
    <n v="0"/>
    <n v="0"/>
    <n v="0"/>
  </r>
  <r>
    <x v="7"/>
    <x v="1"/>
    <x v="0"/>
    <x v="133"/>
    <x v="0"/>
    <n v="29"/>
    <n v="4"/>
    <s v="Life Sciences"/>
    <x v="0"/>
    <n v="1211"/>
    <x v="1"/>
    <x v="1"/>
    <n v="61"/>
    <n v="3"/>
    <n v="2"/>
    <s v="Sales Executive"/>
    <x v="3"/>
    <s v="Divorced"/>
    <x v="816"/>
    <n v="13192"/>
    <n v="8"/>
    <x v="0"/>
    <x v="1"/>
    <n v="19"/>
    <n v="3"/>
    <n v="3"/>
    <n v="80"/>
    <n v="3"/>
    <n v="8"/>
    <n v="3"/>
    <n v="3"/>
    <n v="4"/>
    <n v="3"/>
    <n v="0"/>
    <n v="3"/>
  </r>
  <r>
    <x v="32"/>
    <x v="1"/>
    <x v="1"/>
    <x v="488"/>
    <x v="0"/>
    <n v="2"/>
    <n v="4"/>
    <s v="Medical"/>
    <x v="0"/>
    <n v="1212"/>
    <x v="0"/>
    <x v="1"/>
    <n v="62"/>
    <n v="3"/>
    <n v="2"/>
    <s v="Sales Executive"/>
    <x v="1"/>
    <s v="Married"/>
    <x v="817"/>
    <n v="25440"/>
    <n v="5"/>
    <x v="0"/>
    <x v="1"/>
    <n v="12"/>
    <n v="3"/>
    <n v="4"/>
    <n v="80"/>
    <n v="3"/>
    <n v="5"/>
    <n v="2"/>
    <n v="3"/>
    <n v="0"/>
    <n v="0"/>
    <n v="0"/>
    <n v="0"/>
  </r>
  <r>
    <x v="24"/>
    <x v="1"/>
    <x v="1"/>
    <x v="633"/>
    <x v="1"/>
    <n v="2"/>
    <n v="3"/>
    <s v="Medical"/>
    <x v="0"/>
    <n v="1215"/>
    <x v="2"/>
    <x v="0"/>
    <n v="30"/>
    <n v="3"/>
    <n v="4"/>
    <s v="Manager"/>
    <x v="3"/>
    <s v="Married"/>
    <x v="818"/>
    <n v="9490"/>
    <n v="2"/>
    <x v="0"/>
    <x v="1"/>
    <n v="22"/>
    <n v="4"/>
    <n v="3"/>
    <n v="80"/>
    <n v="1"/>
    <n v="32"/>
    <n v="3"/>
    <n v="3"/>
    <n v="2"/>
    <n v="2"/>
    <n v="2"/>
    <n v="2"/>
  </r>
  <r>
    <x v="14"/>
    <x v="1"/>
    <x v="0"/>
    <x v="439"/>
    <x v="1"/>
    <n v="19"/>
    <n v="4"/>
    <s v="Medical"/>
    <x v="0"/>
    <n v="1216"/>
    <x v="2"/>
    <x v="1"/>
    <n v="78"/>
    <n v="2"/>
    <n v="1"/>
    <s v="Laboratory Technician"/>
    <x v="3"/>
    <s v="Married"/>
    <x v="819"/>
    <n v="12449"/>
    <n v="1"/>
    <x v="0"/>
    <x v="1"/>
    <n v="12"/>
    <n v="3"/>
    <n v="3"/>
    <n v="80"/>
    <n v="3"/>
    <n v="6"/>
    <n v="2"/>
    <n v="3"/>
    <n v="6"/>
    <n v="5"/>
    <n v="3"/>
    <n v="3"/>
  </r>
  <r>
    <x v="21"/>
    <x v="1"/>
    <x v="0"/>
    <x v="157"/>
    <x v="1"/>
    <n v="15"/>
    <n v="2"/>
    <s v="Life Sciences"/>
    <x v="0"/>
    <n v="1217"/>
    <x v="2"/>
    <x v="1"/>
    <n v="52"/>
    <n v="3"/>
    <n v="5"/>
    <s v="Research Director"/>
    <x v="1"/>
    <s v="Married"/>
    <x v="820"/>
    <n v="10849"/>
    <n v="5"/>
    <x v="0"/>
    <x v="1"/>
    <n v="11"/>
    <n v="3"/>
    <n v="1"/>
    <n v="80"/>
    <n v="1"/>
    <n v="25"/>
    <n v="2"/>
    <n v="3"/>
    <n v="4"/>
    <n v="2"/>
    <n v="0"/>
    <n v="3"/>
  </r>
  <r>
    <x v="10"/>
    <x v="1"/>
    <x v="0"/>
    <x v="634"/>
    <x v="0"/>
    <n v="17"/>
    <n v="4"/>
    <s v="Life Sciences"/>
    <x v="0"/>
    <n v="1218"/>
    <x v="1"/>
    <x v="1"/>
    <n v="94"/>
    <n v="3"/>
    <n v="2"/>
    <s v="Sales Executive"/>
    <x v="3"/>
    <s v="Married"/>
    <x v="821"/>
    <n v="21026"/>
    <n v="3"/>
    <x v="0"/>
    <x v="0"/>
    <n v="15"/>
    <n v="3"/>
    <n v="4"/>
    <n v="80"/>
    <n v="3"/>
    <n v="15"/>
    <n v="2"/>
    <n v="3"/>
    <n v="7"/>
    <n v="7"/>
    <n v="1"/>
    <n v="7"/>
  </r>
  <r>
    <x v="17"/>
    <x v="0"/>
    <x v="0"/>
    <x v="609"/>
    <x v="1"/>
    <n v="17"/>
    <n v="2"/>
    <s v="Life Sciences"/>
    <x v="0"/>
    <n v="1219"/>
    <x v="2"/>
    <x v="0"/>
    <n v="97"/>
    <n v="3"/>
    <n v="1"/>
    <s v="Laboratory Technician"/>
    <x v="1"/>
    <s v="Married"/>
    <x v="822"/>
    <n v="3372"/>
    <n v="1"/>
    <x v="0"/>
    <x v="1"/>
    <n v="13"/>
    <n v="3"/>
    <n v="1"/>
    <n v="80"/>
    <n v="1"/>
    <n v="1"/>
    <n v="3"/>
    <n v="1"/>
    <n v="1"/>
    <n v="0"/>
    <n v="0"/>
    <n v="0"/>
  </r>
  <r>
    <x v="3"/>
    <x v="1"/>
    <x v="1"/>
    <x v="466"/>
    <x v="0"/>
    <n v="25"/>
    <n v="3"/>
    <s v="Medical"/>
    <x v="0"/>
    <n v="1220"/>
    <x v="0"/>
    <x v="0"/>
    <n v="82"/>
    <n v="3"/>
    <n v="2"/>
    <s v="Sales Executive"/>
    <x v="2"/>
    <s v="Married"/>
    <x v="823"/>
    <n v="4905"/>
    <n v="1"/>
    <x v="0"/>
    <x v="1"/>
    <n v="12"/>
    <n v="3"/>
    <n v="1"/>
    <n v="80"/>
    <n v="1"/>
    <n v="10"/>
    <n v="3"/>
    <n v="2"/>
    <n v="10"/>
    <n v="7"/>
    <n v="0"/>
    <n v="1"/>
  </r>
  <r>
    <x v="9"/>
    <x v="1"/>
    <x v="0"/>
    <x v="635"/>
    <x v="1"/>
    <n v="6"/>
    <n v="4"/>
    <s v="Life Sciences"/>
    <x v="0"/>
    <n v="1221"/>
    <x v="1"/>
    <x v="1"/>
    <n v="60"/>
    <n v="1"/>
    <n v="1"/>
    <s v="Laboratory Technician"/>
    <x v="2"/>
    <s v="Divorced"/>
    <x v="199"/>
    <n v="6865"/>
    <n v="1"/>
    <x v="0"/>
    <x v="1"/>
    <n v="14"/>
    <n v="3"/>
    <n v="3"/>
    <n v="80"/>
    <n v="1"/>
    <n v="7"/>
    <n v="4"/>
    <n v="3"/>
    <n v="7"/>
    <n v="7"/>
    <n v="1"/>
    <n v="7"/>
  </r>
  <r>
    <x v="7"/>
    <x v="1"/>
    <x v="0"/>
    <x v="56"/>
    <x v="1"/>
    <n v="7"/>
    <n v="4"/>
    <s v="Life Sciences"/>
    <x v="0"/>
    <n v="1224"/>
    <x v="1"/>
    <x v="1"/>
    <n v="49"/>
    <n v="3"/>
    <n v="2"/>
    <s v="Laboratory Technician"/>
    <x v="2"/>
    <s v="Divorced"/>
    <x v="824"/>
    <n v="11309"/>
    <n v="1"/>
    <x v="0"/>
    <x v="1"/>
    <n v="13"/>
    <n v="3"/>
    <n v="1"/>
    <n v="80"/>
    <n v="3"/>
    <n v="10"/>
    <n v="4"/>
    <n v="2"/>
    <n v="10"/>
    <n v="7"/>
    <n v="8"/>
    <n v="9"/>
  </r>
  <r>
    <x v="20"/>
    <x v="1"/>
    <x v="0"/>
    <x v="636"/>
    <x v="1"/>
    <n v="29"/>
    <n v="4"/>
    <s v="Other"/>
    <x v="0"/>
    <n v="1225"/>
    <x v="2"/>
    <x v="1"/>
    <n v="32"/>
    <n v="3"/>
    <n v="2"/>
    <s v="Research Scientist"/>
    <x v="0"/>
    <s v="Single"/>
    <x v="825"/>
    <n v="7744"/>
    <n v="1"/>
    <x v="0"/>
    <x v="1"/>
    <n v="25"/>
    <n v="4"/>
    <n v="2"/>
    <n v="80"/>
    <n v="0"/>
    <n v="20"/>
    <n v="3"/>
    <n v="3"/>
    <n v="20"/>
    <n v="11"/>
    <n v="13"/>
    <n v="17"/>
  </r>
  <r>
    <x v="35"/>
    <x v="1"/>
    <x v="0"/>
    <x v="443"/>
    <x v="0"/>
    <n v="21"/>
    <n v="3"/>
    <s v="Marketing"/>
    <x v="0"/>
    <n v="1226"/>
    <x v="1"/>
    <x v="1"/>
    <n v="43"/>
    <n v="4"/>
    <n v="1"/>
    <s v="Sales Representative"/>
    <x v="0"/>
    <s v="Single"/>
    <x v="826"/>
    <n v="5050"/>
    <n v="1"/>
    <x v="0"/>
    <x v="1"/>
    <n v="17"/>
    <n v="3"/>
    <n v="4"/>
    <n v="80"/>
    <n v="0"/>
    <n v="2"/>
    <n v="2"/>
    <n v="3"/>
    <n v="2"/>
    <n v="1"/>
    <n v="2"/>
    <n v="2"/>
  </r>
  <r>
    <x v="21"/>
    <x v="1"/>
    <x v="0"/>
    <x v="637"/>
    <x v="1"/>
    <n v="2"/>
    <n v="4"/>
    <s v="Technical Degree"/>
    <x v="0"/>
    <n v="1228"/>
    <x v="2"/>
    <x v="1"/>
    <n v="60"/>
    <n v="3"/>
    <n v="2"/>
    <s v="Manufacturing Director"/>
    <x v="0"/>
    <s v="Divorced"/>
    <x v="827"/>
    <n v="17433"/>
    <n v="2"/>
    <x v="0"/>
    <x v="1"/>
    <n v="11"/>
    <n v="3"/>
    <n v="3"/>
    <n v="80"/>
    <n v="1"/>
    <n v="12"/>
    <n v="3"/>
    <n v="2"/>
    <n v="6"/>
    <n v="3"/>
    <n v="1"/>
    <n v="4"/>
  </r>
  <r>
    <x v="19"/>
    <x v="1"/>
    <x v="2"/>
    <x v="638"/>
    <x v="2"/>
    <n v="2"/>
    <n v="5"/>
    <s v="Medical"/>
    <x v="0"/>
    <n v="1231"/>
    <x v="2"/>
    <x v="1"/>
    <n v="79"/>
    <n v="4"/>
    <n v="2"/>
    <s v="Human Resources"/>
    <x v="3"/>
    <s v="Married"/>
    <x v="458"/>
    <n v="12858"/>
    <n v="7"/>
    <x v="0"/>
    <x v="1"/>
    <n v="16"/>
    <n v="3"/>
    <n v="1"/>
    <n v="80"/>
    <n v="1"/>
    <n v="10"/>
    <n v="3"/>
    <n v="4"/>
    <n v="4"/>
    <n v="3"/>
    <n v="0"/>
    <n v="3"/>
  </r>
  <r>
    <x v="42"/>
    <x v="1"/>
    <x v="0"/>
    <x v="639"/>
    <x v="0"/>
    <n v="7"/>
    <n v="4"/>
    <s v="Marketing"/>
    <x v="0"/>
    <n v="1233"/>
    <x v="0"/>
    <x v="1"/>
    <n v="52"/>
    <n v="4"/>
    <n v="2"/>
    <s v="Sales Executive"/>
    <x v="0"/>
    <s v="Divorced"/>
    <x v="828"/>
    <n v="10893"/>
    <n v="0"/>
    <x v="0"/>
    <x v="0"/>
    <n v="18"/>
    <n v="3"/>
    <n v="2"/>
    <n v="80"/>
    <n v="1"/>
    <n v="12"/>
    <n v="3"/>
    <n v="3"/>
    <n v="11"/>
    <n v="7"/>
    <n v="1"/>
    <n v="9"/>
  </r>
  <r>
    <x v="5"/>
    <x v="1"/>
    <x v="1"/>
    <x v="640"/>
    <x v="1"/>
    <n v="13"/>
    <n v="3"/>
    <s v="Other"/>
    <x v="0"/>
    <n v="1234"/>
    <x v="1"/>
    <x v="0"/>
    <n v="77"/>
    <n v="2"/>
    <n v="1"/>
    <s v="Laboratory Technician"/>
    <x v="1"/>
    <s v="Married"/>
    <x v="714"/>
    <n v="7331"/>
    <n v="1"/>
    <x v="0"/>
    <x v="1"/>
    <n v="20"/>
    <n v="4"/>
    <n v="3"/>
    <n v="80"/>
    <n v="1"/>
    <n v="2"/>
    <n v="2"/>
    <n v="3"/>
    <n v="2"/>
    <n v="2"/>
    <n v="2"/>
    <n v="2"/>
  </r>
  <r>
    <x v="5"/>
    <x v="1"/>
    <x v="1"/>
    <x v="136"/>
    <x v="1"/>
    <n v="2"/>
    <n v="2"/>
    <s v="Life Sciences"/>
    <x v="0"/>
    <n v="1235"/>
    <x v="2"/>
    <x v="0"/>
    <n v="38"/>
    <n v="3"/>
    <n v="2"/>
    <s v="Research Scientist"/>
    <x v="2"/>
    <s v="Single"/>
    <x v="829"/>
    <n v="2338"/>
    <n v="4"/>
    <x v="0"/>
    <x v="0"/>
    <n v="14"/>
    <n v="3"/>
    <n v="4"/>
    <n v="80"/>
    <n v="0"/>
    <n v="10"/>
    <n v="2"/>
    <n v="3"/>
    <n v="8"/>
    <n v="7"/>
    <n v="0"/>
    <n v="7"/>
  </r>
  <r>
    <x v="9"/>
    <x v="1"/>
    <x v="0"/>
    <x v="641"/>
    <x v="1"/>
    <n v="1"/>
    <n v="3"/>
    <s v="Technical Degree"/>
    <x v="0"/>
    <n v="1237"/>
    <x v="1"/>
    <x v="0"/>
    <n v="77"/>
    <n v="1"/>
    <n v="3"/>
    <s v="Manufacturing Director"/>
    <x v="3"/>
    <s v="Divorced"/>
    <x v="830"/>
    <n v="4235"/>
    <n v="2"/>
    <x v="0"/>
    <x v="0"/>
    <n v="21"/>
    <n v="4"/>
    <n v="3"/>
    <n v="80"/>
    <n v="1"/>
    <n v="17"/>
    <n v="2"/>
    <n v="3"/>
    <n v="7"/>
    <n v="7"/>
    <n v="7"/>
    <n v="7"/>
  </r>
  <r>
    <x v="3"/>
    <x v="1"/>
    <x v="0"/>
    <x v="284"/>
    <x v="1"/>
    <n v="9"/>
    <n v="3"/>
    <s v="Medical"/>
    <x v="0"/>
    <n v="1238"/>
    <x v="3"/>
    <x v="1"/>
    <n v="60"/>
    <n v="3"/>
    <n v="1"/>
    <s v="Research Scientist"/>
    <x v="0"/>
    <s v="Married"/>
    <x v="831"/>
    <n v="6311"/>
    <n v="0"/>
    <x v="0"/>
    <x v="1"/>
    <n v="13"/>
    <n v="3"/>
    <n v="2"/>
    <n v="80"/>
    <n v="1"/>
    <n v="15"/>
    <n v="5"/>
    <n v="3"/>
    <n v="14"/>
    <n v="10"/>
    <n v="4"/>
    <n v="10"/>
  </r>
  <r>
    <x v="32"/>
    <x v="1"/>
    <x v="0"/>
    <x v="642"/>
    <x v="0"/>
    <n v="10"/>
    <n v="3"/>
    <s v="Technical Degree"/>
    <x v="0"/>
    <n v="1239"/>
    <x v="0"/>
    <x v="0"/>
    <n v="84"/>
    <n v="2"/>
    <n v="2"/>
    <s v="Sales Executive"/>
    <x v="1"/>
    <s v="Divorced"/>
    <x v="832"/>
    <n v="11591"/>
    <n v="7"/>
    <x v="0"/>
    <x v="1"/>
    <n v="12"/>
    <n v="3"/>
    <n v="2"/>
    <n v="80"/>
    <n v="1"/>
    <n v="7"/>
    <n v="2"/>
    <n v="4"/>
    <n v="5"/>
    <n v="1"/>
    <n v="1"/>
    <n v="3"/>
  </r>
  <r>
    <x v="36"/>
    <x v="1"/>
    <x v="0"/>
    <x v="171"/>
    <x v="0"/>
    <n v="10"/>
    <n v="4"/>
    <s v="Life Sciences"/>
    <x v="0"/>
    <n v="1240"/>
    <x v="1"/>
    <x v="1"/>
    <n v="57"/>
    <n v="3"/>
    <n v="2"/>
    <s v="Sales Executive"/>
    <x v="0"/>
    <s v="Single"/>
    <x v="833"/>
    <n v="20623"/>
    <n v="0"/>
    <x v="0"/>
    <x v="1"/>
    <n v="14"/>
    <n v="3"/>
    <n v="2"/>
    <n v="80"/>
    <n v="0"/>
    <n v="5"/>
    <n v="4"/>
    <n v="3"/>
    <n v="4"/>
    <n v="3"/>
    <n v="1"/>
    <n v="1"/>
  </r>
  <r>
    <x v="7"/>
    <x v="1"/>
    <x v="0"/>
    <x v="643"/>
    <x v="1"/>
    <n v="1"/>
    <n v="3"/>
    <s v="Medical"/>
    <x v="0"/>
    <n v="1241"/>
    <x v="2"/>
    <x v="1"/>
    <n v="63"/>
    <n v="3"/>
    <n v="1"/>
    <s v="Research Scientist"/>
    <x v="1"/>
    <s v="Married"/>
    <x v="834"/>
    <n v="9369"/>
    <n v="0"/>
    <x v="0"/>
    <x v="0"/>
    <n v="21"/>
    <n v="4"/>
    <n v="1"/>
    <n v="80"/>
    <n v="1"/>
    <n v="12"/>
    <n v="2"/>
    <n v="3"/>
    <n v="11"/>
    <n v="9"/>
    <n v="5"/>
    <n v="7"/>
  </r>
  <r>
    <x v="19"/>
    <x v="1"/>
    <x v="1"/>
    <x v="644"/>
    <x v="1"/>
    <n v="26"/>
    <n v="5"/>
    <s v="Medical"/>
    <x v="0"/>
    <n v="1242"/>
    <x v="3"/>
    <x v="0"/>
    <n v="60"/>
    <n v="3"/>
    <n v="3"/>
    <s v="Research Director"/>
    <x v="3"/>
    <s v="Married"/>
    <x v="835"/>
    <n v="23281"/>
    <n v="3"/>
    <x v="0"/>
    <x v="0"/>
    <n v="17"/>
    <n v="3"/>
    <n v="3"/>
    <n v="80"/>
    <n v="0"/>
    <n v="20"/>
    <n v="6"/>
    <n v="3"/>
    <n v="1"/>
    <n v="0"/>
    <n v="0"/>
    <n v="0"/>
  </r>
  <r>
    <x v="10"/>
    <x v="1"/>
    <x v="2"/>
    <x v="645"/>
    <x v="0"/>
    <n v="8"/>
    <n v="2"/>
    <s v="Marketing"/>
    <x v="0"/>
    <n v="1243"/>
    <x v="1"/>
    <x v="0"/>
    <n v="78"/>
    <n v="2"/>
    <n v="3"/>
    <s v="Sales Executive"/>
    <x v="0"/>
    <s v="Married"/>
    <x v="836"/>
    <n v="13755"/>
    <n v="4"/>
    <x v="0"/>
    <x v="0"/>
    <n v="11"/>
    <n v="3"/>
    <n v="2"/>
    <n v="80"/>
    <n v="1"/>
    <n v="16"/>
    <n v="6"/>
    <n v="2"/>
    <n v="13"/>
    <n v="2"/>
    <n v="4"/>
    <n v="12"/>
  </r>
  <r>
    <x v="4"/>
    <x v="1"/>
    <x v="0"/>
    <x v="646"/>
    <x v="1"/>
    <n v="14"/>
    <n v="3"/>
    <s v="Life Sciences"/>
    <x v="0"/>
    <n v="1244"/>
    <x v="3"/>
    <x v="1"/>
    <n v="42"/>
    <n v="3"/>
    <n v="1"/>
    <s v="Research Scientist"/>
    <x v="3"/>
    <s v="Married"/>
    <x v="837"/>
    <n v="14377"/>
    <n v="1"/>
    <x v="0"/>
    <x v="0"/>
    <n v="14"/>
    <n v="3"/>
    <n v="4"/>
    <n v="80"/>
    <n v="2"/>
    <n v="9"/>
    <n v="3"/>
    <n v="2"/>
    <n v="9"/>
    <n v="7"/>
    <n v="6"/>
    <n v="8"/>
  </r>
  <r>
    <x v="33"/>
    <x v="1"/>
    <x v="1"/>
    <x v="647"/>
    <x v="1"/>
    <n v="1"/>
    <n v="4"/>
    <s v="Life Sciences"/>
    <x v="0"/>
    <n v="1245"/>
    <x v="2"/>
    <x v="0"/>
    <n v="53"/>
    <n v="3"/>
    <n v="3"/>
    <s v="Manufacturing Director"/>
    <x v="2"/>
    <s v="Divorced"/>
    <x v="838"/>
    <n v="9659"/>
    <n v="7"/>
    <x v="0"/>
    <x v="1"/>
    <n v="17"/>
    <n v="3"/>
    <n v="1"/>
    <n v="80"/>
    <n v="1"/>
    <n v="33"/>
    <n v="2"/>
    <n v="1"/>
    <n v="5"/>
    <n v="4"/>
    <n v="1"/>
    <n v="4"/>
  </r>
  <r>
    <x v="20"/>
    <x v="1"/>
    <x v="0"/>
    <x v="261"/>
    <x v="1"/>
    <n v="2"/>
    <n v="1"/>
    <s v="Life Sciences"/>
    <x v="0"/>
    <n v="1246"/>
    <x v="3"/>
    <x v="0"/>
    <n v="72"/>
    <n v="4"/>
    <n v="1"/>
    <s v="Research Scientist"/>
    <x v="0"/>
    <s v="Married"/>
    <x v="839"/>
    <n v="19982"/>
    <n v="1"/>
    <x v="0"/>
    <x v="1"/>
    <n v="13"/>
    <n v="3"/>
    <n v="4"/>
    <n v="80"/>
    <n v="1"/>
    <n v="10"/>
    <n v="5"/>
    <n v="3"/>
    <n v="10"/>
    <n v="5"/>
    <n v="7"/>
    <n v="7"/>
  </r>
  <r>
    <x v="37"/>
    <x v="0"/>
    <x v="2"/>
    <x v="226"/>
    <x v="1"/>
    <n v="10"/>
    <n v="3"/>
    <s v="Medical"/>
    <x v="0"/>
    <n v="1248"/>
    <x v="3"/>
    <x v="0"/>
    <n v="96"/>
    <n v="2"/>
    <n v="1"/>
    <s v="Research Scientist"/>
    <x v="1"/>
    <s v="Single"/>
    <x v="840"/>
    <n v="6148"/>
    <n v="1"/>
    <x v="0"/>
    <x v="0"/>
    <n v="25"/>
    <n v="4"/>
    <n v="2"/>
    <n v="80"/>
    <n v="0"/>
    <n v="1"/>
    <n v="2"/>
    <n v="4"/>
    <n v="1"/>
    <n v="1"/>
    <n v="0"/>
    <n v="0"/>
  </r>
  <r>
    <x v="11"/>
    <x v="1"/>
    <x v="0"/>
    <x v="648"/>
    <x v="1"/>
    <n v="1"/>
    <n v="3"/>
    <s v="Life Sciences"/>
    <x v="0"/>
    <n v="1249"/>
    <x v="3"/>
    <x v="0"/>
    <n v="97"/>
    <n v="3"/>
    <n v="1"/>
    <s v="Research Scientist"/>
    <x v="0"/>
    <s v="Divorced"/>
    <x v="841"/>
    <n v="5598"/>
    <n v="1"/>
    <x v="0"/>
    <x v="1"/>
    <n v="15"/>
    <n v="3"/>
    <n v="1"/>
    <n v="80"/>
    <n v="3"/>
    <n v="3"/>
    <n v="5"/>
    <n v="3"/>
    <n v="3"/>
    <n v="2"/>
    <n v="1"/>
    <n v="2"/>
  </r>
  <r>
    <x v="33"/>
    <x v="1"/>
    <x v="0"/>
    <x v="230"/>
    <x v="1"/>
    <n v="3"/>
    <n v="3"/>
    <s v="Life Sciences"/>
    <x v="0"/>
    <n v="1250"/>
    <x v="2"/>
    <x v="1"/>
    <n v="85"/>
    <n v="3"/>
    <n v="4"/>
    <s v="Research Director"/>
    <x v="0"/>
    <s v="Married"/>
    <x v="842"/>
    <n v="23474"/>
    <n v="3"/>
    <x v="0"/>
    <x v="1"/>
    <n v="14"/>
    <n v="3"/>
    <n v="1"/>
    <n v="80"/>
    <n v="0"/>
    <n v="36"/>
    <n v="2"/>
    <n v="3"/>
    <n v="10"/>
    <n v="9"/>
    <n v="0"/>
    <n v="9"/>
  </r>
  <r>
    <x v="12"/>
    <x v="1"/>
    <x v="0"/>
    <x v="318"/>
    <x v="1"/>
    <n v="11"/>
    <n v="2"/>
    <s v="Medical"/>
    <x v="0"/>
    <n v="1251"/>
    <x v="1"/>
    <x v="1"/>
    <n v="80"/>
    <n v="3"/>
    <n v="2"/>
    <s v="Healthcare Representative"/>
    <x v="3"/>
    <s v="Married"/>
    <x v="843"/>
    <n v="17089"/>
    <n v="1"/>
    <x v="0"/>
    <x v="0"/>
    <n v="12"/>
    <n v="3"/>
    <n v="4"/>
    <n v="80"/>
    <n v="0"/>
    <n v="6"/>
    <n v="2"/>
    <n v="2"/>
    <n v="6"/>
    <n v="5"/>
    <n v="0"/>
    <n v="1"/>
  </r>
  <r>
    <x v="12"/>
    <x v="1"/>
    <x v="0"/>
    <x v="315"/>
    <x v="1"/>
    <n v="24"/>
    <n v="3"/>
    <s v="Medical"/>
    <x v="0"/>
    <n v="1252"/>
    <x v="1"/>
    <x v="0"/>
    <n v="96"/>
    <n v="2"/>
    <n v="2"/>
    <s v="Healthcare Representative"/>
    <x v="3"/>
    <s v="Single"/>
    <x v="844"/>
    <n v="17198"/>
    <n v="1"/>
    <x v="0"/>
    <x v="1"/>
    <n v="19"/>
    <n v="3"/>
    <n v="2"/>
    <n v="80"/>
    <n v="0"/>
    <n v="10"/>
    <n v="2"/>
    <n v="3"/>
    <n v="10"/>
    <n v="9"/>
    <n v="1"/>
    <n v="8"/>
  </r>
  <r>
    <x v="6"/>
    <x v="1"/>
    <x v="0"/>
    <x v="649"/>
    <x v="0"/>
    <n v="3"/>
    <n v="3"/>
    <s v="Life Sciences"/>
    <x v="0"/>
    <n v="1254"/>
    <x v="1"/>
    <x v="0"/>
    <n v="48"/>
    <n v="2"/>
    <n v="2"/>
    <s v="Sales Executive"/>
    <x v="0"/>
    <s v="Single"/>
    <x v="845"/>
    <n v="16490"/>
    <n v="5"/>
    <x v="0"/>
    <x v="1"/>
    <n v="17"/>
    <n v="3"/>
    <n v="4"/>
    <n v="80"/>
    <n v="0"/>
    <n v="13"/>
    <n v="2"/>
    <n v="3"/>
    <n v="6"/>
    <n v="1"/>
    <n v="0"/>
    <n v="5"/>
  </r>
  <r>
    <x v="23"/>
    <x v="1"/>
    <x v="0"/>
    <x v="258"/>
    <x v="1"/>
    <n v="3"/>
    <n v="3"/>
    <s v="Life Sciences"/>
    <x v="0"/>
    <n v="1255"/>
    <x v="1"/>
    <x v="1"/>
    <n v="96"/>
    <n v="1"/>
    <n v="5"/>
    <s v="Research Director"/>
    <x v="0"/>
    <s v="Married"/>
    <x v="846"/>
    <n v="18625"/>
    <n v="3"/>
    <x v="0"/>
    <x v="1"/>
    <n v="14"/>
    <n v="3"/>
    <n v="2"/>
    <n v="80"/>
    <n v="1"/>
    <n v="25"/>
    <n v="2"/>
    <n v="3"/>
    <n v="8"/>
    <n v="7"/>
    <n v="0"/>
    <n v="7"/>
  </r>
  <r>
    <x v="1"/>
    <x v="1"/>
    <x v="0"/>
    <x v="650"/>
    <x v="1"/>
    <n v="4"/>
    <n v="2"/>
    <s v="Medical"/>
    <x v="0"/>
    <n v="1256"/>
    <x v="3"/>
    <x v="1"/>
    <n v="85"/>
    <n v="2"/>
    <n v="5"/>
    <s v="Manager"/>
    <x v="2"/>
    <s v="Married"/>
    <x v="847"/>
    <n v="12124"/>
    <n v="2"/>
    <x v="0"/>
    <x v="1"/>
    <n v="13"/>
    <n v="3"/>
    <n v="3"/>
    <n v="80"/>
    <n v="1"/>
    <n v="23"/>
    <n v="2"/>
    <n v="4"/>
    <n v="1"/>
    <n v="0"/>
    <n v="0"/>
    <n v="0"/>
  </r>
  <r>
    <x v="9"/>
    <x v="1"/>
    <x v="1"/>
    <x v="601"/>
    <x v="1"/>
    <n v="3"/>
    <n v="3"/>
    <s v="Technical Degree"/>
    <x v="0"/>
    <n v="1257"/>
    <x v="1"/>
    <x v="1"/>
    <n v="46"/>
    <n v="3"/>
    <n v="1"/>
    <s v="Research Scientist"/>
    <x v="1"/>
    <s v="Married"/>
    <x v="848"/>
    <n v="9256"/>
    <n v="1"/>
    <x v="0"/>
    <x v="1"/>
    <n v="12"/>
    <n v="3"/>
    <n v="3"/>
    <n v="80"/>
    <n v="0"/>
    <n v="12"/>
    <n v="2"/>
    <n v="2"/>
    <n v="11"/>
    <n v="10"/>
    <n v="0"/>
    <n v="7"/>
  </r>
  <r>
    <x v="26"/>
    <x v="1"/>
    <x v="0"/>
    <x v="651"/>
    <x v="1"/>
    <n v="2"/>
    <n v="2"/>
    <s v="Technical Degree"/>
    <x v="0"/>
    <n v="1258"/>
    <x v="2"/>
    <x v="1"/>
    <n v="76"/>
    <n v="4"/>
    <n v="1"/>
    <s v="Laboratory Technician"/>
    <x v="1"/>
    <s v="Single"/>
    <x v="594"/>
    <n v="16620"/>
    <n v="5"/>
    <x v="0"/>
    <x v="1"/>
    <n v="11"/>
    <n v="3"/>
    <n v="3"/>
    <n v="80"/>
    <n v="0"/>
    <n v="7"/>
    <n v="4"/>
    <n v="2"/>
    <n v="1"/>
    <n v="0"/>
    <n v="0"/>
    <n v="0"/>
  </r>
  <r>
    <x v="4"/>
    <x v="1"/>
    <x v="0"/>
    <x v="652"/>
    <x v="1"/>
    <n v="4"/>
    <n v="2"/>
    <s v="Life Sciences"/>
    <x v="0"/>
    <n v="1259"/>
    <x v="3"/>
    <x v="1"/>
    <n v="76"/>
    <n v="3"/>
    <n v="1"/>
    <s v="Research Scientist"/>
    <x v="2"/>
    <s v="Divorced"/>
    <x v="849"/>
    <n v="3208"/>
    <n v="1"/>
    <x v="0"/>
    <x v="1"/>
    <n v="11"/>
    <n v="3"/>
    <n v="2"/>
    <n v="80"/>
    <n v="3"/>
    <n v="5"/>
    <n v="2"/>
    <n v="3"/>
    <n v="5"/>
    <n v="3"/>
    <n v="0"/>
    <n v="3"/>
  </r>
  <r>
    <x v="11"/>
    <x v="1"/>
    <x v="0"/>
    <x v="133"/>
    <x v="1"/>
    <n v="7"/>
    <n v="3"/>
    <s v="Life Sciences"/>
    <x v="0"/>
    <n v="1260"/>
    <x v="1"/>
    <x v="1"/>
    <n v="82"/>
    <n v="3"/>
    <n v="2"/>
    <s v="Healthcare Representative"/>
    <x v="0"/>
    <s v="Divorced"/>
    <x v="850"/>
    <n v="4204"/>
    <n v="1"/>
    <x v="0"/>
    <x v="0"/>
    <n v="11"/>
    <n v="3"/>
    <n v="2"/>
    <n v="80"/>
    <n v="2"/>
    <n v="6"/>
    <n v="2"/>
    <n v="3"/>
    <n v="6"/>
    <n v="0"/>
    <n v="1"/>
    <n v="0"/>
  </r>
  <r>
    <x v="26"/>
    <x v="1"/>
    <x v="0"/>
    <x v="464"/>
    <x v="1"/>
    <n v="1"/>
    <n v="3"/>
    <s v="Life Sciences"/>
    <x v="0"/>
    <n v="1263"/>
    <x v="2"/>
    <x v="1"/>
    <n v="76"/>
    <n v="2"/>
    <n v="5"/>
    <s v="Research Director"/>
    <x v="0"/>
    <s v="Single"/>
    <x v="851"/>
    <n v="8733"/>
    <n v="6"/>
    <x v="0"/>
    <x v="1"/>
    <n v="12"/>
    <n v="3"/>
    <n v="3"/>
    <n v="80"/>
    <n v="0"/>
    <n v="25"/>
    <n v="3"/>
    <n v="4"/>
    <n v="1"/>
    <n v="0"/>
    <n v="0"/>
    <n v="0"/>
  </r>
  <r>
    <x v="11"/>
    <x v="1"/>
    <x v="0"/>
    <x v="653"/>
    <x v="1"/>
    <n v="1"/>
    <n v="3"/>
    <s v="Life Sciences"/>
    <x v="0"/>
    <n v="1264"/>
    <x v="2"/>
    <x v="0"/>
    <n v="87"/>
    <n v="2"/>
    <n v="4"/>
    <s v="Research Director"/>
    <x v="0"/>
    <s v="Divorced"/>
    <x v="852"/>
    <n v="3423"/>
    <n v="3"/>
    <x v="0"/>
    <x v="1"/>
    <n v="14"/>
    <n v="3"/>
    <n v="2"/>
    <n v="80"/>
    <n v="2"/>
    <n v="9"/>
    <n v="2"/>
    <n v="2"/>
    <n v="7"/>
    <n v="7"/>
    <n v="1"/>
    <n v="7"/>
  </r>
  <r>
    <x v="13"/>
    <x v="1"/>
    <x v="0"/>
    <x v="654"/>
    <x v="1"/>
    <n v="20"/>
    <n v="3"/>
    <s v="Technical Degree"/>
    <x v="0"/>
    <n v="1265"/>
    <x v="1"/>
    <x v="0"/>
    <n v="89"/>
    <n v="4"/>
    <n v="1"/>
    <s v="Research Scientist"/>
    <x v="2"/>
    <s v="Married"/>
    <x v="853"/>
    <n v="21643"/>
    <n v="0"/>
    <x v="0"/>
    <x v="1"/>
    <n v="17"/>
    <n v="3"/>
    <n v="4"/>
    <n v="80"/>
    <n v="0"/>
    <n v="2"/>
    <n v="5"/>
    <n v="2"/>
    <n v="1"/>
    <n v="0"/>
    <n v="0"/>
    <n v="0"/>
  </r>
  <r>
    <x v="20"/>
    <x v="1"/>
    <x v="0"/>
    <x v="361"/>
    <x v="0"/>
    <n v="5"/>
    <n v="3"/>
    <s v="Marketing"/>
    <x v="0"/>
    <n v="1267"/>
    <x v="0"/>
    <x v="1"/>
    <n v="88"/>
    <n v="3"/>
    <n v="5"/>
    <s v="Manager"/>
    <x v="1"/>
    <s v="Married"/>
    <x v="854"/>
    <n v="8751"/>
    <n v="7"/>
    <x v="0"/>
    <x v="1"/>
    <n v="11"/>
    <n v="3"/>
    <n v="3"/>
    <n v="80"/>
    <n v="1"/>
    <n v="26"/>
    <n v="5"/>
    <n v="3"/>
    <n v="22"/>
    <n v="9"/>
    <n v="3"/>
    <n v="10"/>
  </r>
  <r>
    <x v="3"/>
    <x v="1"/>
    <x v="0"/>
    <x v="655"/>
    <x v="0"/>
    <n v="10"/>
    <n v="5"/>
    <s v="Marketing"/>
    <x v="0"/>
    <n v="1268"/>
    <x v="2"/>
    <x v="1"/>
    <n v="82"/>
    <n v="4"/>
    <n v="3"/>
    <s v="Sales Executive"/>
    <x v="2"/>
    <s v="Divorced"/>
    <x v="855"/>
    <n v="21708"/>
    <n v="0"/>
    <x v="0"/>
    <x v="0"/>
    <n v="14"/>
    <n v="3"/>
    <n v="4"/>
    <n v="80"/>
    <n v="2"/>
    <n v="10"/>
    <n v="3"/>
    <n v="3"/>
    <n v="9"/>
    <n v="8"/>
    <n v="0"/>
    <n v="8"/>
  </r>
  <r>
    <x v="37"/>
    <x v="1"/>
    <x v="0"/>
    <x v="576"/>
    <x v="1"/>
    <n v="25"/>
    <n v="3"/>
    <s v="Life Sciences"/>
    <x v="0"/>
    <n v="1269"/>
    <x v="0"/>
    <x v="0"/>
    <n v="57"/>
    <n v="4"/>
    <n v="1"/>
    <s v="Research Scientist"/>
    <x v="0"/>
    <s v="Single"/>
    <x v="856"/>
    <n v="21221"/>
    <n v="1"/>
    <x v="0"/>
    <x v="0"/>
    <n v="12"/>
    <n v="3"/>
    <n v="4"/>
    <n v="80"/>
    <n v="0"/>
    <n v="1"/>
    <n v="2"/>
    <n v="3"/>
    <n v="1"/>
    <n v="0"/>
    <n v="0"/>
    <n v="1"/>
  </r>
  <r>
    <x v="30"/>
    <x v="1"/>
    <x v="0"/>
    <x v="656"/>
    <x v="1"/>
    <n v="1"/>
    <n v="2"/>
    <s v="Life Sciences"/>
    <x v="0"/>
    <n v="1270"/>
    <x v="2"/>
    <x v="1"/>
    <n v="47"/>
    <n v="3"/>
    <n v="1"/>
    <s v="Research Scientist"/>
    <x v="2"/>
    <s v="Married"/>
    <x v="857"/>
    <n v="16901"/>
    <n v="1"/>
    <x v="0"/>
    <x v="1"/>
    <n v="22"/>
    <n v="4"/>
    <n v="4"/>
    <n v="80"/>
    <n v="1"/>
    <n v="1"/>
    <n v="2"/>
    <n v="3"/>
    <n v="1"/>
    <n v="0"/>
    <n v="0"/>
    <n v="1"/>
  </r>
  <r>
    <x v="36"/>
    <x v="0"/>
    <x v="1"/>
    <x v="657"/>
    <x v="0"/>
    <n v="24"/>
    <n v="1"/>
    <s v="Life Sciences"/>
    <x v="0"/>
    <n v="1273"/>
    <x v="1"/>
    <x v="1"/>
    <n v="73"/>
    <n v="1"/>
    <n v="1"/>
    <s v="Sales Representative"/>
    <x v="0"/>
    <s v="Single"/>
    <x v="858"/>
    <n v="8040"/>
    <n v="1"/>
    <x v="0"/>
    <x v="0"/>
    <n v="14"/>
    <n v="3"/>
    <n v="4"/>
    <n v="80"/>
    <n v="0"/>
    <n v="1"/>
    <n v="4"/>
    <n v="3"/>
    <n v="1"/>
    <n v="0"/>
    <n v="1"/>
    <n v="0"/>
  </r>
  <r>
    <x v="25"/>
    <x v="1"/>
    <x v="0"/>
    <x v="507"/>
    <x v="1"/>
    <n v="4"/>
    <n v="2"/>
    <s v="Life Sciences"/>
    <x v="0"/>
    <n v="1275"/>
    <x v="1"/>
    <x v="1"/>
    <n v="53"/>
    <n v="3"/>
    <n v="1"/>
    <s v="Research Scientist"/>
    <x v="0"/>
    <s v="Single"/>
    <x v="859"/>
    <n v="9973"/>
    <n v="1"/>
    <x v="0"/>
    <x v="0"/>
    <n v="20"/>
    <n v="4"/>
    <n v="2"/>
    <n v="80"/>
    <n v="0"/>
    <n v="8"/>
    <n v="2"/>
    <n v="2"/>
    <n v="8"/>
    <n v="5"/>
    <n v="2"/>
    <n v="2"/>
  </r>
  <r>
    <x v="28"/>
    <x v="0"/>
    <x v="0"/>
    <x v="260"/>
    <x v="0"/>
    <n v="2"/>
    <n v="3"/>
    <s v="Marketing"/>
    <x v="0"/>
    <n v="1277"/>
    <x v="3"/>
    <x v="0"/>
    <n v="94"/>
    <n v="1"/>
    <n v="5"/>
    <s v="Manager"/>
    <x v="1"/>
    <s v="Single"/>
    <x v="860"/>
    <n v="2493"/>
    <n v="2"/>
    <x v="0"/>
    <x v="0"/>
    <n v="16"/>
    <n v="3"/>
    <n v="1"/>
    <n v="80"/>
    <n v="0"/>
    <n v="26"/>
    <n v="2"/>
    <n v="3"/>
    <n v="24"/>
    <n v="10"/>
    <n v="1"/>
    <n v="11"/>
  </r>
  <r>
    <x v="27"/>
    <x v="1"/>
    <x v="2"/>
    <x v="524"/>
    <x v="1"/>
    <n v="8"/>
    <n v="1"/>
    <s v="Medical"/>
    <x v="0"/>
    <n v="1278"/>
    <x v="2"/>
    <x v="1"/>
    <n v="37"/>
    <n v="2"/>
    <n v="4"/>
    <s v="Healthcare Representative"/>
    <x v="1"/>
    <s v="Divorced"/>
    <x v="861"/>
    <n v="25592"/>
    <n v="1"/>
    <x v="0"/>
    <x v="0"/>
    <n v="15"/>
    <n v="3"/>
    <n v="4"/>
    <n v="80"/>
    <n v="1"/>
    <n v="34"/>
    <n v="3"/>
    <n v="3"/>
    <n v="33"/>
    <n v="9"/>
    <n v="15"/>
    <n v="0"/>
  </r>
  <r>
    <x v="18"/>
    <x v="0"/>
    <x v="1"/>
    <x v="658"/>
    <x v="1"/>
    <n v="10"/>
    <n v="2"/>
    <s v="Life Sciences"/>
    <x v="0"/>
    <n v="1279"/>
    <x v="3"/>
    <x v="0"/>
    <n v="45"/>
    <n v="2"/>
    <n v="1"/>
    <s v="Laboratory Technician"/>
    <x v="2"/>
    <s v="Single"/>
    <x v="862"/>
    <n v="25308"/>
    <n v="1"/>
    <x v="0"/>
    <x v="1"/>
    <n v="20"/>
    <n v="4"/>
    <n v="3"/>
    <n v="80"/>
    <n v="0"/>
    <n v="2"/>
    <n v="2"/>
    <n v="1"/>
    <n v="2"/>
    <n v="2"/>
    <n v="2"/>
    <n v="2"/>
  </r>
  <r>
    <x v="21"/>
    <x v="1"/>
    <x v="0"/>
    <x v="444"/>
    <x v="0"/>
    <n v="4"/>
    <n v="2"/>
    <s v="Marketing"/>
    <x v="0"/>
    <n v="1280"/>
    <x v="2"/>
    <x v="0"/>
    <n v="33"/>
    <n v="2"/>
    <n v="5"/>
    <s v="Manager"/>
    <x v="1"/>
    <s v="Married"/>
    <x v="863"/>
    <n v="9946"/>
    <n v="2"/>
    <x v="0"/>
    <x v="1"/>
    <n v="14"/>
    <n v="3"/>
    <n v="3"/>
    <n v="80"/>
    <n v="1"/>
    <n v="26"/>
    <n v="2"/>
    <n v="3"/>
    <n v="11"/>
    <n v="4"/>
    <n v="0"/>
    <n v="8"/>
  </r>
  <r>
    <x v="13"/>
    <x v="1"/>
    <x v="0"/>
    <x v="659"/>
    <x v="0"/>
    <n v="2"/>
    <n v="3"/>
    <s v="Marketing"/>
    <x v="0"/>
    <n v="1281"/>
    <x v="1"/>
    <x v="0"/>
    <n v="86"/>
    <n v="3"/>
    <n v="2"/>
    <s v="Sales Executive"/>
    <x v="3"/>
    <s v="Single"/>
    <x v="864"/>
    <n v="6039"/>
    <n v="0"/>
    <x v="0"/>
    <x v="0"/>
    <n v="12"/>
    <n v="3"/>
    <n v="4"/>
    <n v="80"/>
    <n v="0"/>
    <n v="4"/>
    <n v="3"/>
    <n v="3"/>
    <n v="3"/>
    <n v="2"/>
    <n v="0"/>
    <n v="2"/>
  </r>
  <r>
    <x v="31"/>
    <x v="1"/>
    <x v="1"/>
    <x v="660"/>
    <x v="0"/>
    <n v="9"/>
    <n v="3"/>
    <s v="Life Sciences"/>
    <x v="0"/>
    <n v="1282"/>
    <x v="2"/>
    <x v="1"/>
    <n v="83"/>
    <n v="3"/>
    <n v="5"/>
    <s v="Manager"/>
    <x v="1"/>
    <s v="Divorced"/>
    <x v="865"/>
    <n v="19196"/>
    <n v="4"/>
    <x v="0"/>
    <x v="0"/>
    <n v="24"/>
    <n v="4"/>
    <n v="1"/>
    <n v="80"/>
    <n v="1"/>
    <n v="31"/>
    <n v="5"/>
    <n v="2"/>
    <n v="29"/>
    <n v="10"/>
    <n v="11"/>
    <n v="10"/>
  </r>
  <r>
    <x v="6"/>
    <x v="1"/>
    <x v="0"/>
    <x v="661"/>
    <x v="1"/>
    <n v="18"/>
    <n v="4"/>
    <s v="Medical"/>
    <x v="0"/>
    <n v="1283"/>
    <x v="2"/>
    <x v="1"/>
    <n v="67"/>
    <n v="3"/>
    <n v="3"/>
    <s v="Manufacturing Director"/>
    <x v="0"/>
    <s v="Single"/>
    <x v="866"/>
    <n v="20002"/>
    <n v="6"/>
    <x v="0"/>
    <x v="1"/>
    <n v="12"/>
    <n v="3"/>
    <n v="4"/>
    <n v="80"/>
    <n v="0"/>
    <n v="25"/>
    <n v="6"/>
    <n v="2"/>
    <n v="9"/>
    <n v="7"/>
    <n v="5"/>
    <n v="4"/>
  </r>
  <r>
    <x v="13"/>
    <x v="1"/>
    <x v="1"/>
    <x v="577"/>
    <x v="1"/>
    <n v="19"/>
    <n v="3"/>
    <s v="Medical"/>
    <x v="0"/>
    <n v="1285"/>
    <x v="1"/>
    <x v="0"/>
    <n v="46"/>
    <n v="3"/>
    <n v="2"/>
    <s v="Laboratory Technician"/>
    <x v="1"/>
    <s v="Divorced"/>
    <x v="867"/>
    <n v="22534"/>
    <n v="4"/>
    <x v="0"/>
    <x v="1"/>
    <n v="13"/>
    <n v="3"/>
    <n v="3"/>
    <n v="80"/>
    <n v="2"/>
    <n v="15"/>
    <n v="2"/>
    <n v="4"/>
    <n v="11"/>
    <n v="8"/>
    <n v="5"/>
    <n v="10"/>
  </r>
  <r>
    <x v="14"/>
    <x v="1"/>
    <x v="1"/>
    <x v="471"/>
    <x v="1"/>
    <n v="1"/>
    <n v="4"/>
    <s v="Medical"/>
    <x v="0"/>
    <n v="1286"/>
    <x v="2"/>
    <x v="1"/>
    <n v="44"/>
    <n v="3"/>
    <n v="1"/>
    <s v="Laboratory Technician"/>
    <x v="2"/>
    <s v="Single"/>
    <x v="868"/>
    <n v="6842"/>
    <n v="0"/>
    <x v="0"/>
    <x v="0"/>
    <n v="11"/>
    <n v="3"/>
    <n v="3"/>
    <n v="80"/>
    <n v="0"/>
    <n v="5"/>
    <n v="2"/>
    <n v="2"/>
    <n v="4"/>
    <n v="2"/>
    <n v="0"/>
    <n v="2"/>
  </r>
  <r>
    <x v="20"/>
    <x v="1"/>
    <x v="0"/>
    <x v="225"/>
    <x v="1"/>
    <n v="4"/>
    <n v="2"/>
    <s v="Life Sciences"/>
    <x v="0"/>
    <n v="1288"/>
    <x v="1"/>
    <x v="1"/>
    <n v="92"/>
    <n v="4"/>
    <n v="5"/>
    <s v="Manager"/>
    <x v="3"/>
    <s v="Divorced"/>
    <x v="869"/>
    <n v="17477"/>
    <n v="1"/>
    <x v="0"/>
    <x v="1"/>
    <n v="14"/>
    <n v="3"/>
    <n v="4"/>
    <n v="80"/>
    <n v="2"/>
    <n v="26"/>
    <n v="4"/>
    <n v="2"/>
    <n v="25"/>
    <n v="9"/>
    <n v="14"/>
    <n v="13"/>
  </r>
  <r>
    <x v="13"/>
    <x v="1"/>
    <x v="1"/>
    <x v="662"/>
    <x v="2"/>
    <n v="11"/>
    <n v="3"/>
    <s v="Life Sciences"/>
    <x v="0"/>
    <n v="1289"/>
    <x v="1"/>
    <x v="1"/>
    <n v="56"/>
    <n v="2"/>
    <n v="2"/>
    <s v="Human Resources"/>
    <x v="1"/>
    <s v="Married"/>
    <x v="870"/>
    <n v="21833"/>
    <n v="4"/>
    <x v="0"/>
    <x v="1"/>
    <n v="11"/>
    <n v="3"/>
    <n v="4"/>
    <n v="80"/>
    <n v="2"/>
    <n v="14"/>
    <n v="5"/>
    <n v="4"/>
    <n v="10"/>
    <n v="9"/>
    <n v="1"/>
    <n v="8"/>
  </r>
  <r>
    <x v="10"/>
    <x v="1"/>
    <x v="0"/>
    <x v="663"/>
    <x v="1"/>
    <n v="6"/>
    <n v="1"/>
    <s v="Life Sciences"/>
    <x v="0"/>
    <n v="1291"/>
    <x v="1"/>
    <x v="1"/>
    <n v="66"/>
    <n v="3"/>
    <n v="1"/>
    <s v="Research Scientist"/>
    <x v="2"/>
    <s v="Married"/>
    <x v="871"/>
    <n v="6020"/>
    <n v="0"/>
    <x v="0"/>
    <x v="0"/>
    <n v="14"/>
    <n v="3"/>
    <n v="4"/>
    <n v="80"/>
    <n v="0"/>
    <n v="4"/>
    <n v="3"/>
    <n v="3"/>
    <n v="3"/>
    <n v="2"/>
    <n v="2"/>
    <n v="2"/>
  </r>
  <r>
    <x v="19"/>
    <x v="1"/>
    <x v="0"/>
    <x v="619"/>
    <x v="1"/>
    <n v="7"/>
    <n v="4"/>
    <s v="Medical"/>
    <x v="0"/>
    <n v="1292"/>
    <x v="0"/>
    <x v="0"/>
    <n v="78"/>
    <n v="4"/>
    <n v="2"/>
    <s v="Research Scientist"/>
    <x v="1"/>
    <s v="Married"/>
    <x v="872"/>
    <n v="5628"/>
    <n v="6"/>
    <x v="0"/>
    <x v="0"/>
    <n v="16"/>
    <n v="3"/>
    <n v="4"/>
    <n v="80"/>
    <n v="0"/>
    <n v="18"/>
    <n v="2"/>
    <n v="3"/>
    <n v="1"/>
    <n v="0"/>
    <n v="0"/>
    <n v="0"/>
  </r>
  <r>
    <x v="23"/>
    <x v="1"/>
    <x v="0"/>
    <x v="664"/>
    <x v="0"/>
    <n v="4"/>
    <n v="4"/>
    <s v="Marketing"/>
    <x v="0"/>
    <n v="1293"/>
    <x v="2"/>
    <x v="0"/>
    <n v="56"/>
    <n v="2"/>
    <n v="3"/>
    <s v="Sales Executive"/>
    <x v="0"/>
    <s v="Single"/>
    <x v="873"/>
    <n v="20364"/>
    <n v="3"/>
    <x v="0"/>
    <x v="1"/>
    <n v="14"/>
    <n v="3"/>
    <n v="4"/>
    <n v="80"/>
    <n v="0"/>
    <n v="23"/>
    <n v="3"/>
    <n v="4"/>
    <n v="21"/>
    <n v="7"/>
    <n v="15"/>
    <n v="17"/>
  </r>
  <r>
    <x v="9"/>
    <x v="1"/>
    <x v="0"/>
    <x v="665"/>
    <x v="1"/>
    <n v="2"/>
    <n v="4"/>
    <s v="Life Sciences"/>
    <x v="0"/>
    <n v="1294"/>
    <x v="1"/>
    <x v="0"/>
    <n v="53"/>
    <n v="3"/>
    <n v="2"/>
    <s v="Manufacturing Director"/>
    <x v="1"/>
    <s v="Single"/>
    <x v="874"/>
    <n v="2323"/>
    <n v="9"/>
    <x v="0"/>
    <x v="0"/>
    <n v="11"/>
    <n v="3"/>
    <n v="4"/>
    <n v="80"/>
    <n v="0"/>
    <n v="18"/>
    <n v="2"/>
    <n v="3"/>
    <n v="16"/>
    <n v="14"/>
    <n v="5"/>
    <n v="12"/>
  </r>
  <r>
    <x v="20"/>
    <x v="0"/>
    <x v="0"/>
    <x v="457"/>
    <x v="1"/>
    <n v="15"/>
    <n v="3"/>
    <s v="Medical"/>
    <x v="0"/>
    <n v="1295"/>
    <x v="3"/>
    <x v="0"/>
    <n v="73"/>
    <n v="3"/>
    <n v="3"/>
    <s v="Healthcare Representative"/>
    <x v="0"/>
    <s v="Married"/>
    <x v="875"/>
    <n v="14075"/>
    <n v="1"/>
    <x v="0"/>
    <x v="1"/>
    <n v="11"/>
    <n v="3"/>
    <n v="4"/>
    <n v="80"/>
    <n v="1"/>
    <n v="10"/>
    <n v="2"/>
    <n v="3"/>
    <n v="10"/>
    <n v="7"/>
    <n v="0"/>
    <n v="5"/>
  </r>
  <r>
    <x v="14"/>
    <x v="1"/>
    <x v="1"/>
    <x v="77"/>
    <x v="1"/>
    <n v="2"/>
    <n v="3"/>
    <s v="Life Sciences"/>
    <x v="0"/>
    <n v="1296"/>
    <x v="2"/>
    <x v="1"/>
    <n v="52"/>
    <n v="2"/>
    <n v="1"/>
    <s v="Laboratory Technician"/>
    <x v="0"/>
    <s v="Married"/>
    <x v="876"/>
    <n v="14222"/>
    <n v="1"/>
    <x v="0"/>
    <x v="0"/>
    <n v="12"/>
    <n v="3"/>
    <n v="2"/>
    <n v="80"/>
    <n v="1"/>
    <n v="2"/>
    <n v="2"/>
    <n v="3"/>
    <n v="2"/>
    <n v="2"/>
    <n v="2"/>
    <n v="2"/>
  </r>
  <r>
    <x v="31"/>
    <x v="1"/>
    <x v="1"/>
    <x v="666"/>
    <x v="1"/>
    <n v="6"/>
    <n v="2"/>
    <s v="Medical"/>
    <x v="0"/>
    <n v="1297"/>
    <x v="0"/>
    <x v="0"/>
    <n v="40"/>
    <n v="2"/>
    <n v="1"/>
    <s v="Laboratory Technician"/>
    <x v="2"/>
    <s v="Single"/>
    <x v="877"/>
    <n v="4257"/>
    <n v="0"/>
    <x v="0"/>
    <x v="1"/>
    <n v="14"/>
    <n v="3"/>
    <n v="2"/>
    <n v="80"/>
    <n v="0"/>
    <n v="8"/>
    <n v="6"/>
    <n v="2"/>
    <n v="7"/>
    <n v="0"/>
    <n v="7"/>
    <n v="7"/>
  </r>
  <r>
    <x v="7"/>
    <x v="1"/>
    <x v="2"/>
    <x v="667"/>
    <x v="1"/>
    <n v="9"/>
    <n v="2"/>
    <s v="Medical"/>
    <x v="0"/>
    <n v="1298"/>
    <x v="1"/>
    <x v="0"/>
    <n v="72"/>
    <n v="3"/>
    <n v="2"/>
    <s v="Manufacturing Director"/>
    <x v="2"/>
    <s v="Single"/>
    <x v="878"/>
    <n v="12858"/>
    <n v="7"/>
    <x v="0"/>
    <x v="0"/>
    <n v="18"/>
    <n v="3"/>
    <n v="3"/>
    <n v="80"/>
    <n v="0"/>
    <n v="10"/>
    <n v="3"/>
    <n v="3"/>
    <n v="8"/>
    <n v="4"/>
    <n v="1"/>
    <n v="7"/>
  </r>
  <r>
    <x v="11"/>
    <x v="0"/>
    <x v="0"/>
    <x v="428"/>
    <x v="1"/>
    <n v="7"/>
    <n v="3"/>
    <s v="Technical Degree"/>
    <x v="0"/>
    <n v="1299"/>
    <x v="0"/>
    <x v="0"/>
    <n v="39"/>
    <n v="3"/>
    <n v="1"/>
    <s v="Laboratory Technician"/>
    <x v="2"/>
    <s v="Divorced"/>
    <x v="879"/>
    <n v="17285"/>
    <n v="3"/>
    <x v="0"/>
    <x v="0"/>
    <n v="13"/>
    <n v="3"/>
    <n v="1"/>
    <n v="80"/>
    <n v="2"/>
    <n v="10"/>
    <n v="2"/>
    <n v="3"/>
    <n v="7"/>
    <n v="7"/>
    <n v="7"/>
    <n v="7"/>
  </r>
  <r>
    <x v="14"/>
    <x v="1"/>
    <x v="0"/>
    <x v="668"/>
    <x v="1"/>
    <n v="1"/>
    <n v="3"/>
    <s v="Technical Degree"/>
    <x v="0"/>
    <n v="1301"/>
    <x v="2"/>
    <x v="1"/>
    <n v="84"/>
    <n v="3"/>
    <n v="1"/>
    <s v="Research Scientist"/>
    <x v="3"/>
    <s v="Single"/>
    <x v="880"/>
    <n v="4732"/>
    <n v="2"/>
    <x v="0"/>
    <x v="1"/>
    <n v="11"/>
    <n v="3"/>
    <n v="2"/>
    <n v="80"/>
    <n v="0"/>
    <n v="5"/>
    <n v="2"/>
    <n v="2"/>
    <n v="3"/>
    <n v="2"/>
    <n v="1"/>
    <n v="2"/>
  </r>
  <r>
    <x v="36"/>
    <x v="1"/>
    <x v="0"/>
    <x v="580"/>
    <x v="1"/>
    <n v="1"/>
    <n v="3"/>
    <s v="Medical"/>
    <x v="0"/>
    <n v="1303"/>
    <x v="2"/>
    <x v="0"/>
    <n v="40"/>
    <n v="3"/>
    <n v="1"/>
    <s v="Research Scientist"/>
    <x v="1"/>
    <s v="Single"/>
    <x v="461"/>
    <n v="18830"/>
    <n v="1"/>
    <x v="0"/>
    <x v="1"/>
    <n v="18"/>
    <n v="3"/>
    <n v="4"/>
    <n v="80"/>
    <n v="0"/>
    <n v="2"/>
    <n v="3"/>
    <n v="2"/>
    <n v="2"/>
    <n v="2"/>
    <n v="2"/>
    <n v="1"/>
  </r>
  <r>
    <x v="5"/>
    <x v="1"/>
    <x v="0"/>
    <x v="413"/>
    <x v="0"/>
    <n v="8"/>
    <n v="3"/>
    <s v="Medical"/>
    <x v="0"/>
    <n v="1304"/>
    <x v="1"/>
    <x v="1"/>
    <n v="56"/>
    <n v="4"/>
    <n v="2"/>
    <s v="Sales Executive"/>
    <x v="0"/>
    <s v="Married"/>
    <x v="881"/>
    <n v="11693"/>
    <n v="1"/>
    <x v="0"/>
    <x v="1"/>
    <n v="15"/>
    <n v="3"/>
    <n v="3"/>
    <n v="80"/>
    <n v="2"/>
    <n v="10"/>
    <n v="4"/>
    <n v="4"/>
    <n v="10"/>
    <n v="7"/>
    <n v="0"/>
    <n v="8"/>
  </r>
  <r>
    <x v="28"/>
    <x v="1"/>
    <x v="1"/>
    <x v="137"/>
    <x v="1"/>
    <n v="25"/>
    <n v="3"/>
    <s v="Medical"/>
    <x v="0"/>
    <n v="1306"/>
    <x v="0"/>
    <x v="0"/>
    <n v="83"/>
    <n v="3"/>
    <n v="5"/>
    <s v="Manager"/>
    <x v="1"/>
    <s v="Single"/>
    <x v="882"/>
    <n v="13035"/>
    <n v="3"/>
    <x v="0"/>
    <x v="1"/>
    <n v="22"/>
    <n v="4"/>
    <n v="3"/>
    <n v="80"/>
    <n v="0"/>
    <n v="22"/>
    <n v="4"/>
    <n v="3"/>
    <n v="0"/>
    <n v="0"/>
    <n v="0"/>
    <n v="0"/>
  </r>
  <r>
    <x v="22"/>
    <x v="1"/>
    <x v="0"/>
    <x v="669"/>
    <x v="1"/>
    <n v="13"/>
    <n v="4"/>
    <s v="Medical"/>
    <x v="0"/>
    <n v="1307"/>
    <x v="1"/>
    <x v="0"/>
    <n v="94"/>
    <n v="2"/>
    <n v="4"/>
    <s v="Manager"/>
    <x v="1"/>
    <s v="Divorced"/>
    <x v="883"/>
    <n v="17334"/>
    <n v="6"/>
    <x v="0"/>
    <x v="0"/>
    <n v="13"/>
    <n v="3"/>
    <n v="4"/>
    <n v="80"/>
    <n v="2"/>
    <n v="21"/>
    <n v="4"/>
    <n v="3"/>
    <n v="19"/>
    <n v="9"/>
    <n v="15"/>
    <n v="2"/>
  </r>
  <r>
    <x v="34"/>
    <x v="1"/>
    <x v="0"/>
    <x v="670"/>
    <x v="1"/>
    <n v="23"/>
    <n v="4"/>
    <s v="Life Sciences"/>
    <x v="0"/>
    <n v="1308"/>
    <x v="3"/>
    <x v="1"/>
    <n v="88"/>
    <n v="3"/>
    <n v="1"/>
    <s v="Research Scientist"/>
    <x v="2"/>
    <s v="Divorced"/>
    <x v="872"/>
    <n v="26076"/>
    <n v="1"/>
    <x v="0"/>
    <x v="1"/>
    <n v="12"/>
    <n v="3"/>
    <n v="4"/>
    <n v="80"/>
    <n v="2"/>
    <n v="2"/>
    <n v="3"/>
    <n v="3"/>
    <n v="2"/>
    <n v="2"/>
    <n v="2"/>
    <n v="2"/>
  </r>
  <r>
    <x v="5"/>
    <x v="0"/>
    <x v="0"/>
    <x v="585"/>
    <x v="1"/>
    <n v="7"/>
    <n v="2"/>
    <s v="Life Sciences"/>
    <x v="0"/>
    <n v="1309"/>
    <x v="2"/>
    <x v="1"/>
    <n v="79"/>
    <n v="3"/>
    <n v="2"/>
    <s v="Laboratory Technician"/>
    <x v="2"/>
    <s v="Married"/>
    <x v="884"/>
    <n v="22845"/>
    <n v="1"/>
    <x v="0"/>
    <x v="1"/>
    <n v="18"/>
    <n v="3"/>
    <n v="1"/>
    <n v="80"/>
    <n v="1"/>
    <n v="10"/>
    <n v="3"/>
    <n v="3"/>
    <n v="10"/>
    <n v="4"/>
    <n v="1"/>
    <n v="1"/>
  </r>
  <r>
    <x v="22"/>
    <x v="0"/>
    <x v="0"/>
    <x v="671"/>
    <x v="1"/>
    <n v="23"/>
    <n v="3"/>
    <s v="Medical"/>
    <x v="0"/>
    <n v="1310"/>
    <x v="1"/>
    <x v="1"/>
    <n v="93"/>
    <n v="3"/>
    <n v="1"/>
    <s v="Research Scientist"/>
    <x v="3"/>
    <s v="Single"/>
    <x v="885"/>
    <n v="22154"/>
    <n v="0"/>
    <x v="0"/>
    <x v="1"/>
    <n v="13"/>
    <n v="3"/>
    <n v="1"/>
    <n v="80"/>
    <n v="0"/>
    <n v="6"/>
    <n v="2"/>
    <n v="3"/>
    <n v="5"/>
    <n v="2"/>
    <n v="0"/>
    <n v="3"/>
  </r>
  <r>
    <x v="7"/>
    <x v="1"/>
    <x v="0"/>
    <x v="672"/>
    <x v="1"/>
    <n v="6"/>
    <n v="3"/>
    <s v="Technical Degree"/>
    <x v="0"/>
    <n v="1311"/>
    <x v="3"/>
    <x v="0"/>
    <n v="48"/>
    <n v="2"/>
    <n v="2"/>
    <s v="Laboratory Technician"/>
    <x v="0"/>
    <s v="Married"/>
    <x v="886"/>
    <n v="23631"/>
    <n v="0"/>
    <x v="0"/>
    <x v="1"/>
    <n v="12"/>
    <n v="3"/>
    <n v="1"/>
    <n v="80"/>
    <n v="1"/>
    <n v="10"/>
    <n v="6"/>
    <n v="3"/>
    <n v="9"/>
    <n v="2"/>
    <n v="6"/>
    <n v="7"/>
  </r>
  <r>
    <x v="9"/>
    <x v="1"/>
    <x v="0"/>
    <x v="673"/>
    <x v="1"/>
    <n v="10"/>
    <n v="4"/>
    <s v="Technical Degree"/>
    <x v="0"/>
    <n v="1312"/>
    <x v="2"/>
    <x v="0"/>
    <n v="63"/>
    <n v="3"/>
    <n v="3"/>
    <s v="Healthcare Representative"/>
    <x v="2"/>
    <s v="Married"/>
    <x v="887"/>
    <n v="5747"/>
    <n v="3"/>
    <x v="0"/>
    <x v="1"/>
    <n v="12"/>
    <n v="3"/>
    <n v="1"/>
    <n v="80"/>
    <n v="0"/>
    <n v="10"/>
    <n v="0"/>
    <n v="3"/>
    <n v="7"/>
    <n v="7"/>
    <n v="1"/>
    <n v="7"/>
  </r>
  <r>
    <x v="21"/>
    <x v="1"/>
    <x v="0"/>
    <x v="420"/>
    <x v="2"/>
    <n v="1"/>
    <n v="2"/>
    <s v="Life Sciences"/>
    <x v="0"/>
    <n v="1314"/>
    <x v="2"/>
    <x v="0"/>
    <n v="44"/>
    <n v="3"/>
    <n v="1"/>
    <s v="Human Resources"/>
    <x v="3"/>
    <s v="Single"/>
    <x v="888"/>
    <n v="22957"/>
    <n v="6"/>
    <x v="0"/>
    <x v="1"/>
    <n v="12"/>
    <n v="3"/>
    <n v="3"/>
    <n v="80"/>
    <n v="0"/>
    <n v="10"/>
    <n v="3"/>
    <n v="4"/>
    <n v="7"/>
    <n v="6"/>
    <n v="5"/>
    <n v="7"/>
  </r>
  <r>
    <x v="14"/>
    <x v="1"/>
    <x v="2"/>
    <x v="273"/>
    <x v="1"/>
    <n v="1"/>
    <n v="3"/>
    <s v="Life Sciences"/>
    <x v="0"/>
    <n v="1315"/>
    <x v="1"/>
    <x v="0"/>
    <n v="55"/>
    <n v="1"/>
    <n v="2"/>
    <s v="Laboratory Technician"/>
    <x v="0"/>
    <s v="Married"/>
    <x v="889"/>
    <n v="16392"/>
    <n v="0"/>
    <x v="0"/>
    <x v="1"/>
    <n v="11"/>
    <n v="3"/>
    <n v="1"/>
    <n v="80"/>
    <n v="3"/>
    <n v="10"/>
    <n v="6"/>
    <n v="3"/>
    <n v="9"/>
    <n v="8"/>
    <n v="7"/>
    <n v="5"/>
  </r>
  <r>
    <x v="24"/>
    <x v="1"/>
    <x v="0"/>
    <x v="674"/>
    <x v="1"/>
    <n v="28"/>
    <n v="3"/>
    <s v="Life Sciences"/>
    <x v="0"/>
    <n v="1317"/>
    <x v="2"/>
    <x v="0"/>
    <n v="43"/>
    <n v="3"/>
    <n v="4"/>
    <s v="Research Director"/>
    <x v="3"/>
    <s v="Married"/>
    <x v="890"/>
    <n v="22422"/>
    <n v="4"/>
    <x v="0"/>
    <x v="0"/>
    <n v="11"/>
    <n v="3"/>
    <n v="2"/>
    <n v="80"/>
    <n v="0"/>
    <n v="25"/>
    <n v="2"/>
    <n v="3"/>
    <n v="3"/>
    <n v="2"/>
    <n v="1"/>
    <n v="2"/>
  </r>
  <r>
    <x v="32"/>
    <x v="0"/>
    <x v="0"/>
    <x v="675"/>
    <x v="0"/>
    <n v="25"/>
    <n v="4"/>
    <s v="Marketing"/>
    <x v="0"/>
    <n v="1318"/>
    <x v="2"/>
    <x v="1"/>
    <n v="57"/>
    <n v="2"/>
    <n v="3"/>
    <s v="Sales Executive"/>
    <x v="1"/>
    <s v="Single"/>
    <x v="891"/>
    <n v="17235"/>
    <n v="2"/>
    <x v="0"/>
    <x v="0"/>
    <n v="12"/>
    <n v="3"/>
    <n v="3"/>
    <n v="80"/>
    <n v="0"/>
    <n v="9"/>
    <n v="2"/>
    <n v="3"/>
    <n v="5"/>
    <n v="4"/>
    <n v="1"/>
    <n v="0"/>
  </r>
  <r>
    <x v="39"/>
    <x v="0"/>
    <x v="0"/>
    <x v="676"/>
    <x v="0"/>
    <n v="5"/>
    <n v="3"/>
    <s v="Life Sciences"/>
    <x v="0"/>
    <n v="1319"/>
    <x v="0"/>
    <x v="1"/>
    <n v="64"/>
    <n v="3"/>
    <n v="3"/>
    <s v="Sales Executive"/>
    <x v="1"/>
    <s v="Single"/>
    <x v="892"/>
    <n v="21534"/>
    <n v="9"/>
    <x v="0"/>
    <x v="0"/>
    <n v="19"/>
    <n v="3"/>
    <n v="3"/>
    <n v="80"/>
    <n v="0"/>
    <n v="10"/>
    <n v="2"/>
    <n v="2"/>
    <n v="8"/>
    <n v="7"/>
    <n v="7"/>
    <n v="7"/>
  </r>
  <r>
    <x v="7"/>
    <x v="1"/>
    <x v="0"/>
    <x v="677"/>
    <x v="1"/>
    <n v="17"/>
    <n v="4"/>
    <s v="Medical"/>
    <x v="0"/>
    <n v="1321"/>
    <x v="0"/>
    <x v="0"/>
    <n v="95"/>
    <n v="3"/>
    <n v="3"/>
    <s v="Manager"/>
    <x v="3"/>
    <s v="Married"/>
    <x v="893"/>
    <n v="25927"/>
    <n v="1"/>
    <x v="0"/>
    <x v="0"/>
    <n v="23"/>
    <n v="4"/>
    <n v="4"/>
    <n v="80"/>
    <n v="2"/>
    <n v="9"/>
    <n v="2"/>
    <n v="3"/>
    <n v="9"/>
    <n v="1"/>
    <n v="0"/>
    <n v="8"/>
  </r>
  <r>
    <x v="22"/>
    <x v="1"/>
    <x v="0"/>
    <x v="678"/>
    <x v="1"/>
    <n v="18"/>
    <n v="2"/>
    <s v="Life Sciences"/>
    <x v="0"/>
    <n v="1322"/>
    <x v="3"/>
    <x v="1"/>
    <n v="32"/>
    <n v="3"/>
    <n v="2"/>
    <s v="Manufacturing Director"/>
    <x v="2"/>
    <s v="Single"/>
    <x v="894"/>
    <n v="13352"/>
    <n v="0"/>
    <x v="0"/>
    <x v="1"/>
    <n v="11"/>
    <n v="3"/>
    <n v="1"/>
    <n v="80"/>
    <n v="0"/>
    <n v="9"/>
    <n v="6"/>
    <n v="3"/>
    <n v="8"/>
    <n v="7"/>
    <n v="1"/>
    <n v="7"/>
  </r>
  <r>
    <x v="12"/>
    <x v="1"/>
    <x v="2"/>
    <x v="369"/>
    <x v="0"/>
    <n v="2"/>
    <n v="4"/>
    <s v="Life Sciences"/>
    <x v="0"/>
    <n v="1324"/>
    <x v="2"/>
    <x v="0"/>
    <n v="57"/>
    <n v="3"/>
    <n v="3"/>
    <s v="Sales Executive"/>
    <x v="2"/>
    <s v="Divorced"/>
    <x v="895"/>
    <n v="8935"/>
    <n v="1"/>
    <x v="0"/>
    <x v="0"/>
    <n v="19"/>
    <n v="3"/>
    <n v="1"/>
    <n v="80"/>
    <n v="1"/>
    <n v="10"/>
    <n v="5"/>
    <n v="2"/>
    <n v="10"/>
    <n v="8"/>
    <n v="9"/>
    <n v="6"/>
  </r>
  <r>
    <x v="0"/>
    <x v="1"/>
    <x v="2"/>
    <x v="679"/>
    <x v="0"/>
    <n v="10"/>
    <n v="2"/>
    <s v="Medical"/>
    <x v="0"/>
    <n v="1329"/>
    <x v="1"/>
    <x v="1"/>
    <n v="40"/>
    <n v="1"/>
    <n v="2"/>
    <s v="Sales Executive"/>
    <x v="1"/>
    <s v="Single"/>
    <x v="896"/>
    <n v="22074"/>
    <n v="1"/>
    <x v="0"/>
    <x v="1"/>
    <n v="13"/>
    <n v="3"/>
    <n v="1"/>
    <n v="80"/>
    <n v="0"/>
    <n v="19"/>
    <n v="4"/>
    <n v="3"/>
    <n v="19"/>
    <n v="2"/>
    <n v="11"/>
    <n v="9"/>
  </r>
  <r>
    <x v="12"/>
    <x v="0"/>
    <x v="1"/>
    <x v="680"/>
    <x v="0"/>
    <n v="1"/>
    <n v="3"/>
    <s v="Life Sciences"/>
    <x v="0"/>
    <n v="1331"/>
    <x v="2"/>
    <x v="0"/>
    <n v="54"/>
    <n v="3"/>
    <n v="1"/>
    <s v="Sales Representative"/>
    <x v="1"/>
    <s v="Single"/>
    <x v="897"/>
    <n v="8319"/>
    <n v="1"/>
    <x v="0"/>
    <x v="0"/>
    <n v="11"/>
    <n v="3"/>
    <n v="1"/>
    <n v="80"/>
    <n v="0"/>
    <n v="3"/>
    <n v="2"/>
    <n v="4"/>
    <n v="3"/>
    <n v="2"/>
    <n v="2"/>
    <n v="2"/>
  </r>
  <r>
    <x v="20"/>
    <x v="0"/>
    <x v="0"/>
    <x v="681"/>
    <x v="1"/>
    <n v="3"/>
    <n v="3"/>
    <s v="Life Sciences"/>
    <x v="0"/>
    <n v="1333"/>
    <x v="3"/>
    <x v="1"/>
    <n v="89"/>
    <n v="3"/>
    <n v="1"/>
    <s v="Laboratory Technician"/>
    <x v="3"/>
    <s v="Married"/>
    <x v="898"/>
    <n v="14669"/>
    <n v="4"/>
    <x v="0"/>
    <x v="1"/>
    <n v="12"/>
    <n v="3"/>
    <n v="3"/>
    <n v="80"/>
    <n v="0"/>
    <n v="10"/>
    <n v="4"/>
    <n v="4"/>
    <n v="3"/>
    <n v="2"/>
    <n v="1"/>
    <n v="2"/>
  </r>
  <r>
    <x v="19"/>
    <x v="1"/>
    <x v="2"/>
    <x v="682"/>
    <x v="1"/>
    <n v="2"/>
    <n v="1"/>
    <s v="Life Sciences"/>
    <x v="0"/>
    <n v="1334"/>
    <x v="1"/>
    <x v="1"/>
    <n v="37"/>
    <n v="3"/>
    <n v="4"/>
    <s v="Manager"/>
    <x v="2"/>
    <s v="Married"/>
    <x v="417"/>
    <n v="26582"/>
    <n v="0"/>
    <x v="0"/>
    <x v="0"/>
    <n v="13"/>
    <n v="3"/>
    <n v="4"/>
    <n v="80"/>
    <n v="0"/>
    <n v="21"/>
    <n v="3"/>
    <n v="2"/>
    <n v="20"/>
    <n v="8"/>
    <n v="2"/>
    <n v="10"/>
  </r>
  <r>
    <x v="27"/>
    <x v="1"/>
    <x v="0"/>
    <x v="683"/>
    <x v="1"/>
    <n v="2"/>
    <n v="2"/>
    <s v="Medical"/>
    <x v="0"/>
    <n v="1336"/>
    <x v="2"/>
    <x v="0"/>
    <n v="58"/>
    <n v="1"/>
    <n v="5"/>
    <s v="Manager"/>
    <x v="2"/>
    <s v="Married"/>
    <x v="899"/>
    <n v="6992"/>
    <n v="4"/>
    <x v="0"/>
    <x v="1"/>
    <n v="14"/>
    <n v="3"/>
    <n v="4"/>
    <n v="80"/>
    <n v="1"/>
    <n v="23"/>
    <n v="5"/>
    <n v="3"/>
    <n v="19"/>
    <n v="9"/>
    <n v="9"/>
    <n v="11"/>
  </r>
  <r>
    <x v="29"/>
    <x v="1"/>
    <x v="0"/>
    <x v="684"/>
    <x v="2"/>
    <n v="8"/>
    <n v="4"/>
    <s v="Life Sciences"/>
    <x v="0"/>
    <n v="1338"/>
    <x v="2"/>
    <x v="1"/>
    <n v="99"/>
    <n v="3"/>
    <n v="5"/>
    <s v="Manager"/>
    <x v="1"/>
    <s v="Single"/>
    <x v="900"/>
    <n v="4022"/>
    <n v="6"/>
    <x v="0"/>
    <x v="1"/>
    <n v="14"/>
    <n v="3"/>
    <n v="1"/>
    <n v="80"/>
    <n v="0"/>
    <n v="36"/>
    <n v="4"/>
    <n v="3"/>
    <n v="7"/>
    <n v="3"/>
    <n v="7"/>
    <n v="7"/>
  </r>
  <r>
    <x v="32"/>
    <x v="1"/>
    <x v="2"/>
    <x v="644"/>
    <x v="1"/>
    <n v="16"/>
    <n v="2"/>
    <s v="Life Sciences"/>
    <x v="0"/>
    <n v="1340"/>
    <x v="1"/>
    <x v="1"/>
    <n v="74"/>
    <n v="3"/>
    <n v="1"/>
    <s v="Research Scientist"/>
    <x v="2"/>
    <s v="Divorced"/>
    <x v="901"/>
    <n v="8532"/>
    <n v="9"/>
    <x v="0"/>
    <x v="1"/>
    <n v="16"/>
    <n v="3"/>
    <n v="2"/>
    <n v="80"/>
    <n v="1"/>
    <n v="6"/>
    <n v="0"/>
    <n v="3"/>
    <n v="4"/>
    <n v="2"/>
    <n v="0"/>
    <n v="0"/>
  </r>
  <r>
    <x v="13"/>
    <x v="1"/>
    <x v="0"/>
    <x v="685"/>
    <x v="1"/>
    <n v="9"/>
    <n v="3"/>
    <s v="Life Sciences"/>
    <x v="0"/>
    <n v="1344"/>
    <x v="2"/>
    <x v="1"/>
    <n v="86"/>
    <n v="3"/>
    <n v="3"/>
    <s v="Healthcare Representative"/>
    <x v="0"/>
    <s v="Divorced"/>
    <x v="902"/>
    <n v="5494"/>
    <n v="0"/>
    <x v="0"/>
    <x v="1"/>
    <n v="11"/>
    <n v="3"/>
    <n v="4"/>
    <n v="80"/>
    <n v="1"/>
    <n v="10"/>
    <n v="0"/>
    <n v="2"/>
    <n v="9"/>
    <n v="7"/>
    <n v="1"/>
    <n v="6"/>
  </r>
  <r>
    <x v="32"/>
    <x v="1"/>
    <x v="0"/>
    <x v="686"/>
    <x v="1"/>
    <n v="2"/>
    <n v="3"/>
    <s v="Life Sciences"/>
    <x v="0"/>
    <n v="1346"/>
    <x v="1"/>
    <x v="1"/>
    <n v="98"/>
    <n v="3"/>
    <n v="2"/>
    <s v="Research Scientist"/>
    <x v="0"/>
    <s v="Single"/>
    <x v="903"/>
    <n v="22455"/>
    <n v="1"/>
    <x v="0"/>
    <x v="1"/>
    <n v="13"/>
    <n v="3"/>
    <n v="3"/>
    <n v="80"/>
    <n v="0"/>
    <n v="9"/>
    <n v="4"/>
    <n v="3"/>
    <n v="9"/>
    <n v="8"/>
    <n v="8"/>
    <n v="8"/>
  </r>
  <r>
    <x v="0"/>
    <x v="1"/>
    <x v="1"/>
    <x v="291"/>
    <x v="0"/>
    <n v="1"/>
    <n v="3"/>
    <s v="Marketing"/>
    <x v="0"/>
    <n v="1349"/>
    <x v="1"/>
    <x v="0"/>
    <n v="66"/>
    <n v="3"/>
    <n v="2"/>
    <s v="Sales Executive"/>
    <x v="3"/>
    <s v="Divorced"/>
    <x v="904"/>
    <n v="4297"/>
    <n v="0"/>
    <x v="0"/>
    <x v="1"/>
    <n v="17"/>
    <n v="3"/>
    <n v="4"/>
    <n v="80"/>
    <n v="1"/>
    <n v="10"/>
    <n v="2"/>
    <n v="3"/>
    <n v="9"/>
    <n v="3"/>
    <n v="1"/>
    <n v="7"/>
  </r>
  <r>
    <x v="10"/>
    <x v="1"/>
    <x v="1"/>
    <x v="421"/>
    <x v="1"/>
    <n v="4"/>
    <n v="4"/>
    <s v="Life Sciences"/>
    <x v="0"/>
    <n v="1350"/>
    <x v="1"/>
    <x v="1"/>
    <n v="87"/>
    <n v="3"/>
    <n v="2"/>
    <s v="Research Scientist"/>
    <x v="2"/>
    <s v="Single"/>
    <x v="905"/>
    <n v="2690"/>
    <n v="1"/>
    <x v="0"/>
    <x v="0"/>
    <n v="11"/>
    <n v="3"/>
    <n v="2"/>
    <n v="80"/>
    <n v="0"/>
    <n v="9"/>
    <n v="3"/>
    <n v="3"/>
    <n v="9"/>
    <n v="6"/>
    <n v="1"/>
    <n v="1"/>
  </r>
  <r>
    <x v="31"/>
    <x v="1"/>
    <x v="0"/>
    <x v="605"/>
    <x v="2"/>
    <n v="5"/>
    <n v="3"/>
    <s v="Life Sciences"/>
    <x v="0"/>
    <n v="1352"/>
    <x v="1"/>
    <x v="1"/>
    <n v="84"/>
    <n v="3"/>
    <n v="4"/>
    <s v="Manager"/>
    <x v="1"/>
    <s v="Divorced"/>
    <x v="906"/>
    <n v="17588"/>
    <n v="1"/>
    <x v="0"/>
    <x v="0"/>
    <n v="11"/>
    <n v="3"/>
    <n v="2"/>
    <n v="80"/>
    <n v="1"/>
    <n v="33"/>
    <n v="2"/>
    <n v="3"/>
    <n v="33"/>
    <n v="9"/>
    <n v="0"/>
    <n v="10"/>
  </r>
  <r>
    <x v="8"/>
    <x v="1"/>
    <x v="0"/>
    <x v="365"/>
    <x v="0"/>
    <n v="2"/>
    <n v="2"/>
    <s v="Life Sciences"/>
    <x v="0"/>
    <n v="1355"/>
    <x v="0"/>
    <x v="0"/>
    <n v="31"/>
    <n v="3"/>
    <n v="2"/>
    <s v="Sales Executive"/>
    <x v="3"/>
    <s v="Divorced"/>
    <x v="907"/>
    <n v="19461"/>
    <n v="3"/>
    <x v="0"/>
    <x v="1"/>
    <n v="15"/>
    <n v="3"/>
    <n v="4"/>
    <n v="80"/>
    <n v="1"/>
    <n v="11"/>
    <n v="3"/>
    <n v="3"/>
    <n v="7"/>
    <n v="7"/>
    <n v="1"/>
    <n v="7"/>
  </r>
  <r>
    <x v="13"/>
    <x v="1"/>
    <x v="0"/>
    <x v="687"/>
    <x v="0"/>
    <n v="15"/>
    <n v="2"/>
    <s v="Medical"/>
    <x v="0"/>
    <n v="1356"/>
    <x v="1"/>
    <x v="0"/>
    <n v="66"/>
    <n v="3"/>
    <n v="2"/>
    <s v="Sales Executive"/>
    <x v="3"/>
    <s v="Single"/>
    <x v="908"/>
    <n v="23553"/>
    <n v="1"/>
    <x v="0"/>
    <x v="1"/>
    <n v="12"/>
    <n v="3"/>
    <n v="4"/>
    <n v="80"/>
    <n v="0"/>
    <n v="10"/>
    <n v="6"/>
    <n v="4"/>
    <n v="10"/>
    <n v="8"/>
    <n v="9"/>
    <n v="6"/>
  </r>
  <r>
    <x v="36"/>
    <x v="1"/>
    <x v="0"/>
    <x v="554"/>
    <x v="1"/>
    <n v="19"/>
    <n v="1"/>
    <s v="Medical"/>
    <x v="0"/>
    <n v="1358"/>
    <x v="2"/>
    <x v="1"/>
    <n v="67"/>
    <n v="3"/>
    <n v="1"/>
    <s v="Laboratory Technician"/>
    <x v="0"/>
    <s v="Married"/>
    <x v="909"/>
    <n v="9075"/>
    <n v="3"/>
    <x v="0"/>
    <x v="1"/>
    <n v="11"/>
    <n v="3"/>
    <n v="3"/>
    <n v="80"/>
    <n v="3"/>
    <n v="7"/>
    <n v="6"/>
    <n v="2"/>
    <n v="3"/>
    <n v="2"/>
    <n v="1"/>
    <n v="2"/>
  </r>
  <r>
    <x v="34"/>
    <x v="0"/>
    <x v="0"/>
    <x v="688"/>
    <x v="1"/>
    <n v="7"/>
    <n v="4"/>
    <s v="Medical"/>
    <x v="0"/>
    <n v="1360"/>
    <x v="1"/>
    <x v="0"/>
    <n v="53"/>
    <n v="2"/>
    <n v="3"/>
    <s v="Manufacturing Director"/>
    <x v="3"/>
    <s v="Married"/>
    <x v="910"/>
    <n v="12023"/>
    <n v="7"/>
    <x v="0"/>
    <x v="0"/>
    <n v="14"/>
    <n v="3"/>
    <n v="4"/>
    <n v="80"/>
    <n v="0"/>
    <n v="31"/>
    <n v="0"/>
    <n v="2"/>
    <n v="10"/>
    <n v="9"/>
    <n v="5"/>
    <n v="9"/>
  </r>
  <r>
    <x v="32"/>
    <x v="1"/>
    <x v="0"/>
    <x v="334"/>
    <x v="1"/>
    <n v="1"/>
    <n v="4"/>
    <s v="Life Sciences"/>
    <x v="0"/>
    <n v="1361"/>
    <x v="0"/>
    <x v="1"/>
    <n v="88"/>
    <n v="3"/>
    <n v="1"/>
    <s v="Laboratory Technician"/>
    <x v="1"/>
    <s v="Married"/>
    <x v="911"/>
    <n v="6762"/>
    <n v="3"/>
    <x v="0"/>
    <x v="1"/>
    <n v="22"/>
    <n v="4"/>
    <n v="3"/>
    <n v="80"/>
    <n v="1"/>
    <n v="7"/>
    <n v="3"/>
    <n v="3"/>
    <n v="4"/>
    <n v="2"/>
    <n v="0"/>
    <n v="3"/>
  </r>
  <r>
    <x v="9"/>
    <x v="1"/>
    <x v="1"/>
    <x v="504"/>
    <x v="0"/>
    <n v="7"/>
    <n v="3"/>
    <s v="Marketing"/>
    <x v="0"/>
    <n v="1362"/>
    <x v="3"/>
    <x v="0"/>
    <n v="83"/>
    <n v="4"/>
    <n v="2"/>
    <s v="Sales Executive"/>
    <x v="3"/>
    <s v="Married"/>
    <x v="912"/>
    <n v="2261"/>
    <n v="2"/>
    <x v="0"/>
    <x v="1"/>
    <n v="16"/>
    <n v="3"/>
    <n v="4"/>
    <n v="80"/>
    <n v="1"/>
    <n v="17"/>
    <n v="2"/>
    <n v="2"/>
    <n v="15"/>
    <n v="7"/>
    <n v="6"/>
    <n v="13"/>
  </r>
  <r>
    <x v="26"/>
    <x v="1"/>
    <x v="0"/>
    <x v="689"/>
    <x v="1"/>
    <n v="4"/>
    <n v="3"/>
    <s v="Life Sciences"/>
    <x v="0"/>
    <n v="1363"/>
    <x v="2"/>
    <x v="1"/>
    <n v="54"/>
    <n v="3"/>
    <n v="3"/>
    <s v="Manufacturing Director"/>
    <x v="0"/>
    <s v="Single"/>
    <x v="913"/>
    <n v="18706"/>
    <n v="1"/>
    <x v="0"/>
    <x v="1"/>
    <n v="11"/>
    <n v="3"/>
    <n v="3"/>
    <n v="80"/>
    <n v="0"/>
    <n v="11"/>
    <n v="2"/>
    <n v="3"/>
    <n v="10"/>
    <n v="9"/>
    <n v="0"/>
    <n v="8"/>
  </r>
  <r>
    <x v="4"/>
    <x v="1"/>
    <x v="0"/>
    <x v="690"/>
    <x v="0"/>
    <n v="11"/>
    <n v="3"/>
    <s v="Medical"/>
    <x v="0"/>
    <n v="1364"/>
    <x v="1"/>
    <x v="0"/>
    <n v="98"/>
    <n v="4"/>
    <n v="1"/>
    <s v="Sales Representative"/>
    <x v="0"/>
    <s v="Married"/>
    <x v="914"/>
    <n v="6527"/>
    <n v="8"/>
    <x v="0"/>
    <x v="1"/>
    <n v="14"/>
    <n v="3"/>
    <n v="2"/>
    <n v="80"/>
    <n v="1"/>
    <n v="5"/>
    <n v="4"/>
    <n v="3"/>
    <n v="1"/>
    <n v="0"/>
    <n v="0"/>
    <n v="0"/>
  </r>
  <r>
    <x v="31"/>
    <x v="1"/>
    <x v="0"/>
    <x v="691"/>
    <x v="1"/>
    <n v="11"/>
    <n v="2"/>
    <s v="Technical Degree"/>
    <x v="0"/>
    <n v="1367"/>
    <x v="2"/>
    <x v="0"/>
    <n v="82"/>
    <n v="2"/>
    <n v="4"/>
    <s v="Manufacturing Director"/>
    <x v="1"/>
    <s v="Single"/>
    <x v="915"/>
    <n v="24439"/>
    <n v="3"/>
    <x v="0"/>
    <x v="1"/>
    <n v="16"/>
    <n v="3"/>
    <n v="2"/>
    <n v="80"/>
    <n v="0"/>
    <n v="29"/>
    <n v="1"/>
    <n v="2"/>
    <n v="5"/>
    <n v="2"/>
    <n v="0"/>
    <n v="3"/>
  </r>
  <r>
    <x v="41"/>
    <x v="1"/>
    <x v="2"/>
    <x v="303"/>
    <x v="1"/>
    <n v="1"/>
    <n v="3"/>
    <s v="Life Sciences"/>
    <x v="0"/>
    <n v="1368"/>
    <x v="2"/>
    <x v="0"/>
    <n v="97"/>
    <n v="3"/>
    <n v="1"/>
    <s v="Laboratory Technician"/>
    <x v="0"/>
    <s v="Single"/>
    <x v="916"/>
    <n v="19305"/>
    <n v="1"/>
    <x v="0"/>
    <x v="1"/>
    <n v="15"/>
    <n v="3"/>
    <n v="3"/>
    <n v="80"/>
    <n v="0"/>
    <n v="0"/>
    <n v="5"/>
    <n v="4"/>
    <n v="0"/>
    <n v="0"/>
    <n v="0"/>
    <n v="0"/>
  </r>
  <r>
    <x v="10"/>
    <x v="1"/>
    <x v="0"/>
    <x v="429"/>
    <x v="1"/>
    <n v="1"/>
    <n v="3"/>
    <s v="Medical"/>
    <x v="0"/>
    <n v="1369"/>
    <x v="2"/>
    <x v="0"/>
    <n v="60"/>
    <n v="2"/>
    <n v="2"/>
    <s v="Laboratory Technician"/>
    <x v="0"/>
    <s v="Married"/>
    <x v="917"/>
    <n v="10846"/>
    <n v="0"/>
    <x v="0"/>
    <x v="1"/>
    <n v="12"/>
    <n v="3"/>
    <n v="2"/>
    <n v="80"/>
    <n v="1"/>
    <n v="10"/>
    <n v="0"/>
    <n v="3"/>
    <n v="9"/>
    <n v="7"/>
    <n v="0"/>
    <n v="0"/>
  </r>
  <r>
    <x v="4"/>
    <x v="1"/>
    <x v="1"/>
    <x v="611"/>
    <x v="0"/>
    <n v="2"/>
    <n v="1"/>
    <s v="Life Sciences"/>
    <x v="0"/>
    <n v="1371"/>
    <x v="2"/>
    <x v="1"/>
    <n v="43"/>
    <n v="1"/>
    <n v="2"/>
    <s v="Sales Executive"/>
    <x v="0"/>
    <s v="Single"/>
    <x v="918"/>
    <n v="20392"/>
    <n v="3"/>
    <x v="0"/>
    <x v="1"/>
    <n v="20"/>
    <n v="4"/>
    <n v="2"/>
    <n v="80"/>
    <n v="0"/>
    <n v="8"/>
    <n v="3"/>
    <n v="3"/>
    <n v="6"/>
    <n v="2"/>
    <n v="0"/>
    <n v="0"/>
  </r>
  <r>
    <x v="27"/>
    <x v="0"/>
    <x v="0"/>
    <x v="375"/>
    <x v="0"/>
    <n v="13"/>
    <n v="4"/>
    <s v="Marketing"/>
    <x v="0"/>
    <n v="1372"/>
    <x v="3"/>
    <x v="1"/>
    <n v="85"/>
    <n v="4"/>
    <n v="4"/>
    <s v="Sales Executive"/>
    <x v="2"/>
    <s v="Single"/>
    <x v="919"/>
    <n v="9277"/>
    <n v="6"/>
    <x v="0"/>
    <x v="0"/>
    <n v="17"/>
    <n v="3"/>
    <n v="3"/>
    <n v="80"/>
    <n v="0"/>
    <n v="24"/>
    <n v="2"/>
    <n v="2"/>
    <n v="19"/>
    <n v="7"/>
    <n v="3"/>
    <n v="8"/>
  </r>
  <r>
    <x v="29"/>
    <x v="1"/>
    <x v="0"/>
    <x v="692"/>
    <x v="1"/>
    <n v="23"/>
    <n v="3"/>
    <s v="Life Sciences"/>
    <x v="0"/>
    <n v="1373"/>
    <x v="2"/>
    <x v="1"/>
    <n v="68"/>
    <n v="3"/>
    <n v="4"/>
    <s v="Manufacturing Director"/>
    <x v="1"/>
    <s v="Married"/>
    <x v="920"/>
    <n v="18235"/>
    <n v="4"/>
    <x v="0"/>
    <x v="0"/>
    <n v="12"/>
    <n v="3"/>
    <n v="1"/>
    <n v="80"/>
    <n v="1"/>
    <n v="33"/>
    <n v="0"/>
    <n v="3"/>
    <n v="19"/>
    <n v="16"/>
    <n v="15"/>
    <n v="9"/>
  </r>
  <r>
    <x v="13"/>
    <x v="1"/>
    <x v="2"/>
    <x v="693"/>
    <x v="1"/>
    <n v="26"/>
    <n v="1"/>
    <s v="Technical Degree"/>
    <x v="0"/>
    <n v="1374"/>
    <x v="3"/>
    <x v="0"/>
    <n v="92"/>
    <n v="2"/>
    <n v="1"/>
    <s v="Research Scientist"/>
    <x v="2"/>
    <s v="Divorced"/>
    <x v="921"/>
    <n v="15891"/>
    <n v="1"/>
    <x v="0"/>
    <x v="1"/>
    <n v="20"/>
    <n v="4"/>
    <n v="3"/>
    <n v="80"/>
    <n v="3"/>
    <n v="5"/>
    <n v="2"/>
    <n v="3"/>
    <n v="5"/>
    <n v="4"/>
    <n v="0"/>
    <n v="0"/>
  </r>
  <r>
    <x v="32"/>
    <x v="1"/>
    <x v="0"/>
    <x v="694"/>
    <x v="1"/>
    <n v="2"/>
    <n v="1"/>
    <s v="Medical"/>
    <x v="0"/>
    <n v="1375"/>
    <x v="0"/>
    <x v="0"/>
    <n v="89"/>
    <n v="4"/>
    <n v="2"/>
    <s v="Healthcare Representative"/>
    <x v="2"/>
    <s v="Divorced"/>
    <x v="922"/>
    <n v="13888"/>
    <n v="5"/>
    <x v="0"/>
    <x v="1"/>
    <n v="20"/>
    <n v="4"/>
    <n v="2"/>
    <n v="80"/>
    <n v="3"/>
    <n v="15"/>
    <n v="0"/>
    <n v="3"/>
    <n v="12"/>
    <n v="11"/>
    <n v="11"/>
    <n v="8"/>
  </r>
  <r>
    <x v="13"/>
    <x v="1"/>
    <x v="0"/>
    <x v="695"/>
    <x v="1"/>
    <n v="29"/>
    <n v="3"/>
    <s v="Medical"/>
    <x v="0"/>
    <n v="1377"/>
    <x v="0"/>
    <x v="1"/>
    <n v="86"/>
    <n v="3"/>
    <n v="2"/>
    <s v="Laboratory Technician"/>
    <x v="2"/>
    <s v="Married"/>
    <x v="923"/>
    <n v="17491"/>
    <n v="4"/>
    <x v="0"/>
    <x v="1"/>
    <n v="13"/>
    <n v="3"/>
    <n v="1"/>
    <n v="80"/>
    <n v="2"/>
    <n v="10"/>
    <n v="1"/>
    <n v="3"/>
    <n v="8"/>
    <n v="7"/>
    <n v="7"/>
    <n v="7"/>
  </r>
  <r>
    <x v="12"/>
    <x v="0"/>
    <x v="1"/>
    <x v="396"/>
    <x v="0"/>
    <n v="2"/>
    <n v="3"/>
    <s v="Life Sciences"/>
    <x v="0"/>
    <n v="1379"/>
    <x v="1"/>
    <x v="0"/>
    <n v="90"/>
    <n v="2"/>
    <n v="1"/>
    <s v="Sales Representative"/>
    <x v="0"/>
    <s v="Single"/>
    <x v="924"/>
    <n v="11882"/>
    <n v="7"/>
    <x v="0"/>
    <x v="1"/>
    <n v="14"/>
    <n v="3"/>
    <n v="3"/>
    <n v="80"/>
    <n v="0"/>
    <n v="3"/>
    <n v="3"/>
    <n v="4"/>
    <n v="1"/>
    <n v="0"/>
    <n v="0"/>
    <n v="0"/>
  </r>
  <r>
    <x v="10"/>
    <x v="0"/>
    <x v="1"/>
    <x v="146"/>
    <x v="0"/>
    <n v="18"/>
    <n v="4"/>
    <s v="Marketing"/>
    <x v="0"/>
    <n v="1380"/>
    <x v="2"/>
    <x v="0"/>
    <n v="67"/>
    <n v="3"/>
    <n v="2"/>
    <s v="Sales Executive"/>
    <x v="2"/>
    <s v="Married"/>
    <x v="925"/>
    <n v="23288"/>
    <n v="0"/>
    <x v="0"/>
    <x v="0"/>
    <n v="18"/>
    <n v="3"/>
    <n v="3"/>
    <n v="80"/>
    <n v="1"/>
    <n v="5"/>
    <n v="0"/>
    <n v="2"/>
    <n v="4"/>
    <n v="2"/>
    <n v="3"/>
    <n v="2"/>
  </r>
  <r>
    <x v="8"/>
    <x v="1"/>
    <x v="1"/>
    <x v="433"/>
    <x v="1"/>
    <n v="7"/>
    <n v="3"/>
    <s v="Life Sciences"/>
    <x v="0"/>
    <n v="1382"/>
    <x v="2"/>
    <x v="1"/>
    <n v="57"/>
    <n v="4"/>
    <n v="1"/>
    <s v="Research Scientist"/>
    <x v="2"/>
    <s v="Divorced"/>
    <x v="353"/>
    <n v="15748"/>
    <n v="1"/>
    <x v="0"/>
    <x v="1"/>
    <n v="11"/>
    <n v="3"/>
    <n v="4"/>
    <n v="80"/>
    <n v="3"/>
    <n v="4"/>
    <n v="2"/>
    <n v="3"/>
    <n v="4"/>
    <n v="2"/>
    <n v="0"/>
    <n v="3"/>
  </r>
  <r>
    <x v="13"/>
    <x v="1"/>
    <x v="0"/>
    <x v="696"/>
    <x v="1"/>
    <n v="2"/>
    <n v="4"/>
    <s v="Technical Degree"/>
    <x v="0"/>
    <n v="1383"/>
    <x v="1"/>
    <x v="0"/>
    <n v="98"/>
    <n v="3"/>
    <n v="2"/>
    <s v="Healthcare Representative"/>
    <x v="0"/>
    <s v="Single"/>
    <x v="926"/>
    <n v="6163"/>
    <n v="1"/>
    <x v="0"/>
    <x v="1"/>
    <n v="11"/>
    <n v="3"/>
    <n v="4"/>
    <n v="80"/>
    <n v="0"/>
    <n v="14"/>
    <n v="2"/>
    <n v="4"/>
    <n v="14"/>
    <n v="11"/>
    <n v="4"/>
    <n v="11"/>
  </r>
  <r>
    <x v="14"/>
    <x v="1"/>
    <x v="0"/>
    <x v="697"/>
    <x v="0"/>
    <n v="26"/>
    <n v="3"/>
    <s v="Life Sciences"/>
    <x v="0"/>
    <n v="1387"/>
    <x v="1"/>
    <x v="1"/>
    <n v="48"/>
    <n v="2"/>
    <n v="2"/>
    <s v="Sales Executive"/>
    <x v="3"/>
    <s v="Married"/>
    <x v="927"/>
    <n v="24232"/>
    <n v="1"/>
    <x v="0"/>
    <x v="1"/>
    <n v="11"/>
    <n v="3"/>
    <n v="3"/>
    <n v="80"/>
    <n v="1"/>
    <n v="5"/>
    <n v="0"/>
    <n v="3"/>
    <n v="5"/>
    <n v="3"/>
    <n v="0"/>
    <n v="4"/>
  </r>
  <r>
    <x v="12"/>
    <x v="0"/>
    <x v="0"/>
    <x v="596"/>
    <x v="1"/>
    <n v="22"/>
    <n v="4"/>
    <s v="Medical"/>
    <x v="0"/>
    <n v="1389"/>
    <x v="2"/>
    <x v="1"/>
    <n v="98"/>
    <n v="3"/>
    <n v="2"/>
    <s v="Manufacturing Director"/>
    <x v="2"/>
    <s v="Married"/>
    <x v="928"/>
    <n v="21057"/>
    <n v="1"/>
    <x v="0"/>
    <x v="0"/>
    <n v="15"/>
    <n v="3"/>
    <n v="4"/>
    <n v="80"/>
    <n v="2"/>
    <n v="10"/>
    <n v="3"/>
    <n v="2"/>
    <n v="10"/>
    <n v="2"/>
    <n v="6"/>
    <n v="7"/>
  </r>
  <r>
    <x v="22"/>
    <x v="1"/>
    <x v="0"/>
    <x v="698"/>
    <x v="0"/>
    <n v="21"/>
    <n v="4"/>
    <s v="Life Sciences"/>
    <x v="0"/>
    <n v="1390"/>
    <x v="3"/>
    <x v="1"/>
    <n v="44"/>
    <n v="2"/>
    <n v="2"/>
    <s v="Sales Executive"/>
    <x v="0"/>
    <s v="Married"/>
    <x v="929"/>
    <n v="3567"/>
    <n v="3"/>
    <x v="0"/>
    <x v="0"/>
    <n v="12"/>
    <n v="3"/>
    <n v="4"/>
    <n v="80"/>
    <n v="2"/>
    <n v="8"/>
    <n v="2"/>
    <n v="4"/>
    <n v="5"/>
    <n v="4"/>
    <n v="1"/>
    <n v="4"/>
  </r>
  <r>
    <x v="31"/>
    <x v="1"/>
    <x v="1"/>
    <x v="85"/>
    <x v="0"/>
    <n v="2"/>
    <n v="3"/>
    <s v="Marketing"/>
    <x v="0"/>
    <n v="1391"/>
    <x v="0"/>
    <x v="1"/>
    <n v="52"/>
    <n v="3"/>
    <n v="3"/>
    <s v="Sales Executive"/>
    <x v="1"/>
    <s v="Married"/>
    <x v="930"/>
    <n v="15395"/>
    <n v="2"/>
    <x v="0"/>
    <x v="1"/>
    <n v="11"/>
    <n v="3"/>
    <n v="2"/>
    <n v="80"/>
    <n v="0"/>
    <n v="14"/>
    <n v="5"/>
    <n v="3"/>
    <n v="4"/>
    <n v="2"/>
    <n v="3"/>
    <n v="2"/>
  </r>
  <r>
    <x v="0"/>
    <x v="1"/>
    <x v="1"/>
    <x v="699"/>
    <x v="1"/>
    <n v="22"/>
    <n v="3"/>
    <s v="Life Sciences"/>
    <x v="0"/>
    <n v="1392"/>
    <x v="2"/>
    <x v="0"/>
    <n v="75"/>
    <n v="3"/>
    <n v="2"/>
    <s v="Research Scientist"/>
    <x v="0"/>
    <s v="Divorced"/>
    <x v="931"/>
    <n v="13953"/>
    <n v="3"/>
    <x v="0"/>
    <x v="0"/>
    <n v="14"/>
    <n v="3"/>
    <n v="1"/>
    <n v="80"/>
    <n v="2"/>
    <n v="12"/>
    <n v="4"/>
    <n v="2"/>
    <n v="6"/>
    <n v="2"/>
    <n v="3"/>
    <n v="3"/>
  </r>
  <r>
    <x v="2"/>
    <x v="1"/>
    <x v="0"/>
    <x v="700"/>
    <x v="1"/>
    <n v="4"/>
    <n v="1"/>
    <s v="Life Sciences"/>
    <x v="0"/>
    <n v="1394"/>
    <x v="1"/>
    <x v="1"/>
    <n v="54"/>
    <n v="3"/>
    <n v="1"/>
    <s v="Research Scientist"/>
    <x v="2"/>
    <s v="Married"/>
    <x v="932"/>
    <n v="5182"/>
    <n v="7"/>
    <x v="0"/>
    <x v="0"/>
    <n v="15"/>
    <n v="3"/>
    <n v="4"/>
    <n v="80"/>
    <n v="0"/>
    <n v="8"/>
    <n v="2"/>
    <n v="3"/>
    <n v="6"/>
    <n v="4"/>
    <n v="1"/>
    <n v="3"/>
  </r>
  <r>
    <x v="3"/>
    <x v="1"/>
    <x v="1"/>
    <x v="472"/>
    <x v="0"/>
    <n v="5"/>
    <n v="1"/>
    <s v="Life Sciences"/>
    <x v="0"/>
    <n v="1395"/>
    <x v="0"/>
    <x v="1"/>
    <n v="61"/>
    <n v="3"/>
    <n v="2"/>
    <s v="Sales Executive"/>
    <x v="0"/>
    <s v="Married"/>
    <x v="933"/>
    <n v="19293"/>
    <n v="6"/>
    <x v="0"/>
    <x v="1"/>
    <n v="13"/>
    <n v="3"/>
    <n v="1"/>
    <n v="80"/>
    <n v="0"/>
    <n v="8"/>
    <n v="2"/>
    <n v="4"/>
    <n v="5"/>
    <n v="4"/>
    <n v="1"/>
    <n v="2"/>
  </r>
  <r>
    <x v="5"/>
    <x v="1"/>
    <x v="0"/>
    <x v="701"/>
    <x v="0"/>
    <n v="2"/>
    <n v="1"/>
    <s v="Marketing"/>
    <x v="0"/>
    <n v="1396"/>
    <x v="1"/>
    <x v="1"/>
    <n v="36"/>
    <n v="3"/>
    <n v="2"/>
    <s v="Sales Executive"/>
    <x v="1"/>
    <s v="Married"/>
    <x v="934"/>
    <n v="20497"/>
    <n v="0"/>
    <x v="0"/>
    <x v="0"/>
    <n v="13"/>
    <n v="3"/>
    <n v="1"/>
    <n v="80"/>
    <n v="3"/>
    <n v="4"/>
    <n v="3"/>
    <n v="2"/>
    <n v="3"/>
    <n v="2"/>
    <n v="1"/>
    <n v="2"/>
  </r>
  <r>
    <x v="22"/>
    <x v="1"/>
    <x v="2"/>
    <x v="354"/>
    <x v="1"/>
    <n v="25"/>
    <n v="2"/>
    <s v="Life Sciences"/>
    <x v="0"/>
    <n v="1397"/>
    <x v="1"/>
    <x v="1"/>
    <n v="71"/>
    <n v="3"/>
    <n v="3"/>
    <s v="Healthcare Representative"/>
    <x v="2"/>
    <s v="Married"/>
    <x v="935"/>
    <n v="3449"/>
    <n v="3"/>
    <x v="0"/>
    <x v="1"/>
    <n v="21"/>
    <n v="4"/>
    <n v="2"/>
    <n v="80"/>
    <n v="1"/>
    <n v="13"/>
    <n v="2"/>
    <n v="3"/>
    <n v="6"/>
    <n v="4"/>
    <n v="0"/>
    <n v="5"/>
  </r>
  <r>
    <x v="36"/>
    <x v="1"/>
    <x v="0"/>
    <x v="257"/>
    <x v="0"/>
    <n v="18"/>
    <n v="1"/>
    <s v="Life Sciences"/>
    <x v="0"/>
    <n v="1399"/>
    <x v="3"/>
    <x v="1"/>
    <n v="93"/>
    <n v="4"/>
    <n v="2"/>
    <s v="Sales Executive"/>
    <x v="2"/>
    <s v="Married"/>
    <x v="936"/>
    <n v="12477"/>
    <n v="2"/>
    <x v="0"/>
    <x v="1"/>
    <n v="11"/>
    <n v="3"/>
    <n v="2"/>
    <n v="80"/>
    <n v="0"/>
    <n v="6"/>
    <n v="3"/>
    <n v="2"/>
    <n v="3"/>
    <n v="2"/>
    <n v="1"/>
    <n v="2"/>
  </r>
  <r>
    <x v="39"/>
    <x v="1"/>
    <x v="1"/>
    <x v="251"/>
    <x v="1"/>
    <n v="28"/>
    <n v="2"/>
    <s v="Medical"/>
    <x v="0"/>
    <n v="1401"/>
    <x v="2"/>
    <x v="0"/>
    <n v="59"/>
    <n v="4"/>
    <n v="4"/>
    <s v="Manufacturing Director"/>
    <x v="2"/>
    <s v="Married"/>
    <x v="937"/>
    <n v="9731"/>
    <n v="2"/>
    <x v="0"/>
    <x v="0"/>
    <n v="11"/>
    <n v="3"/>
    <n v="2"/>
    <n v="80"/>
    <n v="1"/>
    <n v="24"/>
    <n v="3"/>
    <n v="2"/>
    <n v="5"/>
    <n v="3"/>
    <n v="0"/>
    <n v="2"/>
  </r>
  <r>
    <x v="23"/>
    <x v="1"/>
    <x v="0"/>
    <x v="499"/>
    <x v="1"/>
    <n v="6"/>
    <n v="3"/>
    <s v="Medical"/>
    <x v="0"/>
    <n v="1402"/>
    <x v="3"/>
    <x v="0"/>
    <n v="73"/>
    <n v="2"/>
    <n v="2"/>
    <s v="Research Scientist"/>
    <x v="2"/>
    <s v="Single"/>
    <x v="938"/>
    <n v="20003"/>
    <n v="1"/>
    <x v="0"/>
    <x v="0"/>
    <n v="14"/>
    <n v="3"/>
    <n v="1"/>
    <n v="80"/>
    <n v="0"/>
    <n v="20"/>
    <n v="3"/>
    <n v="1"/>
    <n v="20"/>
    <n v="7"/>
    <n v="1"/>
    <n v="8"/>
  </r>
  <r>
    <x v="4"/>
    <x v="1"/>
    <x v="0"/>
    <x v="702"/>
    <x v="0"/>
    <n v="10"/>
    <n v="3"/>
    <s v="Marketing"/>
    <x v="0"/>
    <n v="1403"/>
    <x v="2"/>
    <x v="0"/>
    <n v="98"/>
    <n v="2"/>
    <n v="2"/>
    <s v="Sales Executive"/>
    <x v="0"/>
    <s v="Married"/>
    <x v="939"/>
    <n v="7100"/>
    <n v="1"/>
    <x v="0"/>
    <x v="0"/>
    <n v="11"/>
    <n v="3"/>
    <n v="4"/>
    <n v="80"/>
    <n v="0"/>
    <n v="6"/>
    <n v="3"/>
    <n v="3"/>
    <n v="6"/>
    <n v="2"/>
    <n v="4"/>
    <n v="4"/>
  </r>
  <r>
    <x v="4"/>
    <x v="0"/>
    <x v="0"/>
    <x v="577"/>
    <x v="1"/>
    <n v="17"/>
    <n v="4"/>
    <s v="Life Sciences"/>
    <x v="0"/>
    <n v="1405"/>
    <x v="2"/>
    <x v="0"/>
    <n v="51"/>
    <n v="3"/>
    <n v="1"/>
    <s v="Research Scientist"/>
    <x v="2"/>
    <s v="Single"/>
    <x v="940"/>
    <n v="25681"/>
    <n v="1"/>
    <x v="0"/>
    <x v="0"/>
    <n v="13"/>
    <n v="3"/>
    <n v="4"/>
    <n v="80"/>
    <n v="0"/>
    <n v="8"/>
    <n v="2"/>
    <n v="3"/>
    <n v="8"/>
    <n v="2"/>
    <n v="7"/>
    <n v="7"/>
  </r>
  <r>
    <x v="25"/>
    <x v="1"/>
    <x v="0"/>
    <x v="703"/>
    <x v="1"/>
    <n v="2"/>
    <n v="1"/>
    <s v="Medical"/>
    <x v="0"/>
    <n v="1407"/>
    <x v="3"/>
    <x v="1"/>
    <n v="36"/>
    <n v="2"/>
    <n v="1"/>
    <s v="Research Scientist"/>
    <x v="0"/>
    <s v="Single"/>
    <x v="885"/>
    <n v="4050"/>
    <n v="0"/>
    <x v="0"/>
    <x v="1"/>
    <n v="12"/>
    <n v="3"/>
    <n v="4"/>
    <n v="80"/>
    <n v="0"/>
    <n v="5"/>
    <n v="2"/>
    <n v="3"/>
    <n v="4"/>
    <n v="3"/>
    <n v="1"/>
    <n v="1"/>
  </r>
  <r>
    <x v="19"/>
    <x v="1"/>
    <x v="0"/>
    <x v="202"/>
    <x v="2"/>
    <n v="10"/>
    <n v="3"/>
    <s v="Human Resources"/>
    <x v="0"/>
    <n v="1408"/>
    <x v="1"/>
    <x v="0"/>
    <n v="31"/>
    <n v="3"/>
    <n v="4"/>
    <s v="Manager"/>
    <x v="3"/>
    <s v="Married"/>
    <x v="941"/>
    <n v="16616"/>
    <n v="0"/>
    <x v="0"/>
    <x v="1"/>
    <n v="14"/>
    <n v="3"/>
    <n v="3"/>
    <n v="80"/>
    <n v="1"/>
    <n v="21"/>
    <n v="5"/>
    <n v="3"/>
    <n v="20"/>
    <n v="7"/>
    <n v="0"/>
    <n v="9"/>
  </r>
  <r>
    <x v="39"/>
    <x v="1"/>
    <x v="0"/>
    <x v="388"/>
    <x v="1"/>
    <n v="8"/>
    <n v="4"/>
    <s v="Other"/>
    <x v="0"/>
    <n v="1409"/>
    <x v="1"/>
    <x v="0"/>
    <n v="54"/>
    <n v="3"/>
    <n v="1"/>
    <s v="Laboratory Technician"/>
    <x v="3"/>
    <s v="Married"/>
    <x v="942"/>
    <n v="17363"/>
    <n v="9"/>
    <x v="0"/>
    <x v="1"/>
    <n v="13"/>
    <n v="3"/>
    <n v="3"/>
    <n v="80"/>
    <n v="0"/>
    <n v="12"/>
    <n v="2"/>
    <n v="1"/>
    <n v="5"/>
    <n v="4"/>
    <n v="0"/>
    <n v="4"/>
  </r>
  <r>
    <x v="2"/>
    <x v="1"/>
    <x v="0"/>
    <x v="704"/>
    <x v="1"/>
    <n v="11"/>
    <n v="3"/>
    <s v="Medical"/>
    <x v="0"/>
    <n v="1411"/>
    <x v="3"/>
    <x v="0"/>
    <n v="94"/>
    <n v="3"/>
    <n v="1"/>
    <s v="Laboratory Technician"/>
    <x v="2"/>
    <s v="Single"/>
    <x v="943"/>
    <n v="19106"/>
    <n v="4"/>
    <x v="0"/>
    <x v="1"/>
    <n v="18"/>
    <n v="3"/>
    <n v="1"/>
    <n v="80"/>
    <n v="0"/>
    <n v="8"/>
    <n v="6"/>
    <n v="3"/>
    <n v="3"/>
    <n v="2"/>
    <n v="0"/>
    <n v="2"/>
  </r>
  <r>
    <x v="10"/>
    <x v="1"/>
    <x v="1"/>
    <x v="636"/>
    <x v="1"/>
    <n v="18"/>
    <n v="2"/>
    <s v="Life Sciences"/>
    <x v="0"/>
    <n v="1412"/>
    <x v="1"/>
    <x v="1"/>
    <n v="60"/>
    <n v="3"/>
    <n v="3"/>
    <s v="Manufacturing Director"/>
    <x v="0"/>
    <s v="Single"/>
    <x v="944"/>
    <n v="19944"/>
    <n v="2"/>
    <x v="0"/>
    <x v="1"/>
    <n v="11"/>
    <n v="3"/>
    <n v="3"/>
    <n v="80"/>
    <n v="0"/>
    <n v="10"/>
    <n v="2"/>
    <n v="3"/>
    <n v="2"/>
    <n v="2"/>
    <n v="2"/>
    <n v="2"/>
  </r>
  <r>
    <x v="36"/>
    <x v="1"/>
    <x v="0"/>
    <x v="705"/>
    <x v="1"/>
    <n v="1"/>
    <n v="3"/>
    <s v="Technical Degree"/>
    <x v="0"/>
    <n v="1415"/>
    <x v="3"/>
    <x v="1"/>
    <n v="81"/>
    <n v="3"/>
    <n v="1"/>
    <s v="Laboratory Technician"/>
    <x v="0"/>
    <s v="Married"/>
    <x v="945"/>
    <n v="4910"/>
    <n v="4"/>
    <x v="0"/>
    <x v="1"/>
    <n v="11"/>
    <n v="3"/>
    <n v="2"/>
    <n v="80"/>
    <n v="1"/>
    <n v="7"/>
    <n v="2"/>
    <n v="2"/>
    <n v="3"/>
    <n v="2"/>
    <n v="0"/>
    <n v="2"/>
  </r>
  <r>
    <x v="25"/>
    <x v="1"/>
    <x v="0"/>
    <x v="706"/>
    <x v="1"/>
    <n v="7"/>
    <n v="3"/>
    <s v="Other"/>
    <x v="0"/>
    <n v="1417"/>
    <x v="1"/>
    <x v="1"/>
    <n v="100"/>
    <n v="4"/>
    <n v="1"/>
    <s v="Laboratory Technician"/>
    <x v="3"/>
    <s v="Single"/>
    <x v="946"/>
    <n v="23577"/>
    <n v="0"/>
    <x v="0"/>
    <x v="1"/>
    <n v="12"/>
    <n v="3"/>
    <n v="4"/>
    <n v="80"/>
    <n v="0"/>
    <n v="8"/>
    <n v="2"/>
    <n v="3"/>
    <n v="7"/>
    <n v="7"/>
    <n v="0"/>
    <n v="7"/>
  </r>
  <r>
    <x v="11"/>
    <x v="1"/>
    <x v="0"/>
    <x v="707"/>
    <x v="2"/>
    <n v="17"/>
    <n v="3"/>
    <s v="Other"/>
    <x v="0"/>
    <n v="1419"/>
    <x v="0"/>
    <x v="1"/>
    <n v="51"/>
    <n v="2"/>
    <n v="3"/>
    <s v="Human Resources"/>
    <x v="3"/>
    <s v="Single"/>
    <x v="947"/>
    <n v="9769"/>
    <n v="1"/>
    <x v="0"/>
    <x v="1"/>
    <n v="13"/>
    <n v="3"/>
    <n v="1"/>
    <n v="80"/>
    <n v="0"/>
    <n v="10"/>
    <n v="3"/>
    <n v="2"/>
    <n v="10"/>
    <n v="9"/>
    <n v="0"/>
    <n v="9"/>
  </r>
  <r>
    <x v="1"/>
    <x v="0"/>
    <x v="1"/>
    <x v="708"/>
    <x v="1"/>
    <n v="28"/>
    <n v="2"/>
    <s v="Life Sciences"/>
    <x v="0"/>
    <n v="1420"/>
    <x v="3"/>
    <x v="1"/>
    <n v="97"/>
    <n v="2"/>
    <n v="2"/>
    <s v="Laboratory Technician"/>
    <x v="3"/>
    <s v="Single"/>
    <x v="948"/>
    <n v="22710"/>
    <n v="3"/>
    <x v="0"/>
    <x v="1"/>
    <n v="20"/>
    <n v="4"/>
    <n v="1"/>
    <n v="80"/>
    <n v="0"/>
    <n v="20"/>
    <n v="2"/>
    <n v="3"/>
    <n v="4"/>
    <n v="3"/>
    <n v="1"/>
    <n v="3"/>
  </r>
  <r>
    <x v="11"/>
    <x v="0"/>
    <x v="1"/>
    <x v="709"/>
    <x v="1"/>
    <n v="14"/>
    <n v="1"/>
    <s v="Other"/>
    <x v="0"/>
    <n v="1421"/>
    <x v="1"/>
    <x v="0"/>
    <n v="84"/>
    <n v="3"/>
    <n v="3"/>
    <s v="Healthcare Representative"/>
    <x v="0"/>
    <s v="Single"/>
    <x v="949"/>
    <n v="22930"/>
    <n v="0"/>
    <x v="0"/>
    <x v="0"/>
    <n v="12"/>
    <n v="3"/>
    <n v="1"/>
    <n v="80"/>
    <n v="0"/>
    <n v="9"/>
    <n v="1"/>
    <n v="3"/>
    <n v="8"/>
    <n v="7"/>
    <n v="7"/>
    <n v="7"/>
  </r>
  <r>
    <x v="33"/>
    <x v="1"/>
    <x v="0"/>
    <x v="710"/>
    <x v="1"/>
    <n v="1"/>
    <n v="3"/>
    <s v="Medical"/>
    <x v="0"/>
    <n v="1422"/>
    <x v="2"/>
    <x v="0"/>
    <n v="54"/>
    <n v="3"/>
    <n v="4"/>
    <s v="Research Director"/>
    <x v="0"/>
    <s v="Single"/>
    <x v="109"/>
    <n v="5652"/>
    <n v="6"/>
    <x v="0"/>
    <x v="1"/>
    <n v="19"/>
    <n v="3"/>
    <n v="4"/>
    <n v="80"/>
    <n v="0"/>
    <n v="29"/>
    <n v="3"/>
    <n v="2"/>
    <n v="20"/>
    <n v="7"/>
    <n v="12"/>
    <n v="7"/>
  </r>
  <r>
    <x v="34"/>
    <x v="1"/>
    <x v="0"/>
    <x v="575"/>
    <x v="1"/>
    <n v="1"/>
    <n v="3"/>
    <s v="Medical"/>
    <x v="0"/>
    <n v="1423"/>
    <x v="2"/>
    <x v="0"/>
    <n v="76"/>
    <n v="3"/>
    <n v="5"/>
    <s v="Research Director"/>
    <x v="3"/>
    <s v="Married"/>
    <x v="950"/>
    <n v="22456"/>
    <n v="3"/>
    <x v="0"/>
    <x v="0"/>
    <n v="21"/>
    <n v="4"/>
    <n v="3"/>
    <n v="80"/>
    <n v="1"/>
    <n v="32"/>
    <n v="3"/>
    <n v="3"/>
    <n v="9"/>
    <n v="8"/>
    <n v="1"/>
    <n v="5"/>
  </r>
  <r>
    <x v="27"/>
    <x v="1"/>
    <x v="0"/>
    <x v="191"/>
    <x v="1"/>
    <n v="1"/>
    <n v="4"/>
    <s v="Medical"/>
    <x v="0"/>
    <n v="1424"/>
    <x v="0"/>
    <x v="1"/>
    <n v="81"/>
    <n v="4"/>
    <n v="4"/>
    <s v="Research Director"/>
    <x v="0"/>
    <s v="Divorced"/>
    <x v="951"/>
    <n v="12414"/>
    <n v="2"/>
    <x v="0"/>
    <x v="1"/>
    <n v="13"/>
    <n v="3"/>
    <n v="4"/>
    <n v="80"/>
    <n v="2"/>
    <n v="31"/>
    <n v="4"/>
    <n v="4"/>
    <n v="7"/>
    <n v="7"/>
    <n v="0"/>
    <n v="0"/>
  </r>
  <r>
    <x v="9"/>
    <x v="1"/>
    <x v="0"/>
    <x v="711"/>
    <x v="0"/>
    <n v="3"/>
    <n v="4"/>
    <s v="Marketing"/>
    <x v="0"/>
    <n v="1425"/>
    <x v="3"/>
    <x v="0"/>
    <n v="99"/>
    <n v="3"/>
    <n v="2"/>
    <s v="Sales Executive"/>
    <x v="1"/>
    <s v="Single"/>
    <x v="952"/>
    <n v="20763"/>
    <n v="3"/>
    <x v="0"/>
    <x v="0"/>
    <n v="16"/>
    <n v="3"/>
    <n v="4"/>
    <n v="80"/>
    <n v="0"/>
    <n v="15"/>
    <n v="3"/>
    <n v="3"/>
    <n v="5"/>
    <n v="4"/>
    <n v="0"/>
    <n v="1"/>
  </r>
  <r>
    <x v="12"/>
    <x v="0"/>
    <x v="1"/>
    <x v="712"/>
    <x v="0"/>
    <n v="1"/>
    <n v="4"/>
    <s v="Life Sciences"/>
    <x v="0"/>
    <n v="1427"/>
    <x v="0"/>
    <x v="0"/>
    <n v="50"/>
    <n v="1"/>
    <n v="1"/>
    <s v="Sales Representative"/>
    <x v="2"/>
    <s v="Single"/>
    <x v="953"/>
    <n v="16154"/>
    <n v="1"/>
    <x v="0"/>
    <x v="1"/>
    <n v="12"/>
    <n v="3"/>
    <n v="2"/>
    <n v="80"/>
    <n v="0"/>
    <n v="1"/>
    <n v="3"/>
    <n v="3"/>
    <n v="1"/>
    <n v="0"/>
    <n v="0"/>
    <n v="0"/>
  </r>
  <r>
    <x v="7"/>
    <x v="1"/>
    <x v="0"/>
    <x v="689"/>
    <x v="0"/>
    <n v="7"/>
    <n v="4"/>
    <s v="Marketing"/>
    <x v="0"/>
    <n v="1428"/>
    <x v="2"/>
    <x v="0"/>
    <n v="73"/>
    <n v="3"/>
    <n v="2"/>
    <s v="Sales Executive"/>
    <x v="3"/>
    <s v="Divorced"/>
    <x v="586"/>
    <n v="12761"/>
    <n v="7"/>
    <x v="0"/>
    <x v="1"/>
    <n v="14"/>
    <n v="3"/>
    <n v="2"/>
    <n v="80"/>
    <n v="2"/>
    <n v="8"/>
    <n v="3"/>
    <n v="3"/>
    <n v="3"/>
    <n v="2"/>
    <n v="0"/>
    <n v="2"/>
  </r>
  <r>
    <x v="12"/>
    <x v="1"/>
    <x v="0"/>
    <x v="467"/>
    <x v="1"/>
    <n v="8"/>
    <n v="5"/>
    <s v="Life Sciences"/>
    <x v="0"/>
    <n v="1430"/>
    <x v="3"/>
    <x v="0"/>
    <n v="93"/>
    <n v="3"/>
    <n v="4"/>
    <s v="Research Director"/>
    <x v="1"/>
    <s v="Single"/>
    <x v="954"/>
    <n v="8847"/>
    <n v="3"/>
    <x v="0"/>
    <x v="1"/>
    <n v="11"/>
    <n v="3"/>
    <n v="3"/>
    <n v="80"/>
    <n v="0"/>
    <n v="9"/>
    <n v="3"/>
    <n v="4"/>
    <n v="3"/>
    <n v="2"/>
    <n v="1"/>
    <n v="0"/>
  </r>
  <r>
    <x v="13"/>
    <x v="1"/>
    <x v="1"/>
    <x v="713"/>
    <x v="1"/>
    <n v="1"/>
    <n v="4"/>
    <s v="Other"/>
    <x v="0"/>
    <n v="1431"/>
    <x v="2"/>
    <x v="1"/>
    <n v="91"/>
    <n v="3"/>
    <n v="1"/>
    <s v="Research Scientist"/>
    <x v="3"/>
    <s v="Divorced"/>
    <x v="932"/>
    <n v="20284"/>
    <n v="5"/>
    <x v="0"/>
    <x v="1"/>
    <n v="14"/>
    <n v="3"/>
    <n v="3"/>
    <n v="80"/>
    <n v="2"/>
    <n v="10"/>
    <n v="2"/>
    <n v="3"/>
    <n v="4"/>
    <n v="3"/>
    <n v="1"/>
    <n v="3"/>
  </r>
  <r>
    <x v="12"/>
    <x v="0"/>
    <x v="0"/>
    <x v="337"/>
    <x v="1"/>
    <n v="8"/>
    <n v="3"/>
    <s v="Life Sciences"/>
    <x v="0"/>
    <n v="1433"/>
    <x v="3"/>
    <x v="0"/>
    <n v="34"/>
    <n v="2"/>
    <n v="1"/>
    <s v="Research Scientist"/>
    <x v="1"/>
    <s v="Single"/>
    <x v="955"/>
    <n v="22262"/>
    <n v="1"/>
    <x v="0"/>
    <x v="1"/>
    <n v="12"/>
    <n v="3"/>
    <n v="3"/>
    <n v="80"/>
    <n v="0"/>
    <n v="1"/>
    <n v="3"/>
    <n v="4"/>
    <n v="1"/>
    <n v="0"/>
    <n v="0"/>
    <n v="0"/>
  </r>
  <r>
    <x v="4"/>
    <x v="1"/>
    <x v="0"/>
    <x v="290"/>
    <x v="1"/>
    <n v="11"/>
    <n v="1"/>
    <s v="Life Sciences"/>
    <x v="0"/>
    <n v="1434"/>
    <x v="0"/>
    <x v="1"/>
    <n v="91"/>
    <n v="3"/>
    <n v="1"/>
    <s v="Laboratory Technician"/>
    <x v="3"/>
    <s v="Married"/>
    <x v="956"/>
    <n v="7679"/>
    <n v="0"/>
    <x v="0"/>
    <x v="1"/>
    <n v="14"/>
    <n v="3"/>
    <n v="2"/>
    <n v="80"/>
    <n v="0"/>
    <n v="6"/>
    <n v="3"/>
    <n v="4"/>
    <n v="5"/>
    <n v="0"/>
    <n v="1"/>
    <n v="4"/>
  </r>
  <r>
    <x v="9"/>
    <x v="1"/>
    <x v="0"/>
    <x v="714"/>
    <x v="1"/>
    <n v="4"/>
    <n v="4"/>
    <s v="Life Sciences"/>
    <x v="0"/>
    <n v="1435"/>
    <x v="3"/>
    <x v="1"/>
    <n v="37"/>
    <n v="2"/>
    <n v="2"/>
    <s v="Laboratory Technician"/>
    <x v="0"/>
    <s v="Single"/>
    <x v="957"/>
    <n v="22604"/>
    <n v="1"/>
    <x v="0"/>
    <x v="1"/>
    <n v="16"/>
    <n v="3"/>
    <n v="3"/>
    <n v="80"/>
    <n v="0"/>
    <n v="10"/>
    <n v="2"/>
    <n v="2"/>
    <n v="10"/>
    <n v="4"/>
    <n v="1"/>
    <n v="8"/>
  </r>
  <r>
    <x v="9"/>
    <x v="1"/>
    <x v="0"/>
    <x v="334"/>
    <x v="0"/>
    <n v="16"/>
    <n v="4"/>
    <s v="Marketing"/>
    <x v="0"/>
    <n v="1436"/>
    <x v="1"/>
    <x v="0"/>
    <n v="98"/>
    <n v="2"/>
    <n v="2"/>
    <s v="Sales Executive"/>
    <x v="3"/>
    <s v="Married"/>
    <x v="958"/>
    <n v="13494"/>
    <n v="4"/>
    <x v="0"/>
    <x v="1"/>
    <n v="13"/>
    <n v="3"/>
    <n v="1"/>
    <n v="80"/>
    <n v="2"/>
    <n v="11"/>
    <n v="3"/>
    <n v="2"/>
    <n v="3"/>
    <n v="2"/>
    <n v="0"/>
    <n v="2"/>
  </r>
  <r>
    <x v="40"/>
    <x v="1"/>
    <x v="0"/>
    <x v="159"/>
    <x v="1"/>
    <n v="1"/>
    <n v="3"/>
    <s v="Technical Degree"/>
    <x v="0"/>
    <n v="1438"/>
    <x v="3"/>
    <x v="1"/>
    <n v="74"/>
    <n v="3"/>
    <n v="1"/>
    <s v="Research Scientist"/>
    <x v="0"/>
    <s v="Married"/>
    <x v="959"/>
    <n v="10205"/>
    <n v="7"/>
    <x v="0"/>
    <x v="1"/>
    <n v="12"/>
    <n v="3"/>
    <n v="3"/>
    <n v="80"/>
    <n v="1"/>
    <n v="17"/>
    <n v="2"/>
    <n v="2"/>
    <n v="6"/>
    <n v="5"/>
    <n v="1"/>
    <n v="2"/>
  </r>
  <r>
    <x v="36"/>
    <x v="0"/>
    <x v="0"/>
    <x v="715"/>
    <x v="0"/>
    <n v="9"/>
    <n v="2"/>
    <s v="Life Sciences"/>
    <x v="0"/>
    <n v="1439"/>
    <x v="3"/>
    <x v="1"/>
    <n v="68"/>
    <n v="2"/>
    <n v="1"/>
    <s v="Sales Representative"/>
    <x v="3"/>
    <s v="Married"/>
    <x v="960"/>
    <n v="15182"/>
    <n v="3"/>
    <x v="0"/>
    <x v="1"/>
    <n v="12"/>
    <n v="3"/>
    <n v="1"/>
    <n v="80"/>
    <n v="0"/>
    <n v="6"/>
    <n v="2"/>
    <n v="3"/>
    <n v="3"/>
    <n v="2"/>
    <n v="2"/>
    <n v="2"/>
  </r>
  <r>
    <x v="2"/>
    <x v="1"/>
    <x v="2"/>
    <x v="208"/>
    <x v="1"/>
    <n v="5"/>
    <n v="2"/>
    <s v="Technical Degree"/>
    <x v="0"/>
    <n v="1440"/>
    <x v="1"/>
    <x v="1"/>
    <n v="84"/>
    <n v="4"/>
    <n v="1"/>
    <s v="Laboratory Technician"/>
    <x v="2"/>
    <s v="Single"/>
    <x v="961"/>
    <n v="25470"/>
    <n v="0"/>
    <x v="0"/>
    <x v="1"/>
    <n v="14"/>
    <n v="3"/>
    <n v="1"/>
    <n v="80"/>
    <n v="0"/>
    <n v="7"/>
    <n v="2"/>
    <n v="1"/>
    <n v="6"/>
    <n v="5"/>
    <n v="1"/>
    <n v="3"/>
  </r>
  <r>
    <x v="29"/>
    <x v="1"/>
    <x v="0"/>
    <x v="716"/>
    <x v="1"/>
    <n v="1"/>
    <n v="2"/>
    <s v="Life Sciences"/>
    <x v="0"/>
    <n v="1441"/>
    <x v="3"/>
    <x v="0"/>
    <n v="90"/>
    <n v="3"/>
    <n v="1"/>
    <s v="Research Scientist"/>
    <x v="3"/>
    <s v="Married"/>
    <x v="962"/>
    <n v="10494"/>
    <n v="2"/>
    <x v="0"/>
    <x v="1"/>
    <n v="22"/>
    <n v="4"/>
    <n v="4"/>
    <n v="80"/>
    <n v="1"/>
    <n v="5"/>
    <n v="3"/>
    <n v="4"/>
    <n v="3"/>
    <n v="2"/>
    <n v="1"/>
    <n v="0"/>
  </r>
  <r>
    <x v="40"/>
    <x v="1"/>
    <x v="0"/>
    <x v="717"/>
    <x v="1"/>
    <n v="2"/>
    <n v="4"/>
    <s v="Medical"/>
    <x v="0"/>
    <n v="1443"/>
    <x v="3"/>
    <x v="0"/>
    <n v="82"/>
    <n v="3"/>
    <n v="4"/>
    <s v="Research Director"/>
    <x v="2"/>
    <s v="Married"/>
    <x v="963"/>
    <n v="26703"/>
    <n v="3"/>
    <x v="0"/>
    <x v="1"/>
    <n v="19"/>
    <n v="3"/>
    <n v="2"/>
    <n v="80"/>
    <n v="2"/>
    <n v="26"/>
    <n v="2"/>
    <n v="4"/>
    <n v="20"/>
    <n v="17"/>
    <n v="5"/>
    <n v="6"/>
  </r>
  <r>
    <x v="17"/>
    <x v="1"/>
    <x v="0"/>
    <x v="273"/>
    <x v="0"/>
    <n v="4"/>
    <n v="1"/>
    <s v="Medical"/>
    <x v="0"/>
    <n v="1445"/>
    <x v="2"/>
    <x v="0"/>
    <n v="42"/>
    <n v="3"/>
    <n v="2"/>
    <s v="Sales Executive"/>
    <x v="2"/>
    <s v="Married"/>
    <x v="964"/>
    <n v="15211"/>
    <n v="1"/>
    <x v="0"/>
    <x v="0"/>
    <n v="12"/>
    <n v="3"/>
    <n v="3"/>
    <n v="80"/>
    <n v="2"/>
    <n v="5"/>
    <n v="3"/>
    <n v="3"/>
    <n v="5"/>
    <n v="4"/>
    <n v="0"/>
    <n v="3"/>
  </r>
  <r>
    <x v="5"/>
    <x v="1"/>
    <x v="0"/>
    <x v="688"/>
    <x v="0"/>
    <n v="7"/>
    <n v="5"/>
    <s v="Marketing"/>
    <x v="0"/>
    <n v="1446"/>
    <x v="2"/>
    <x v="1"/>
    <n v="97"/>
    <n v="3"/>
    <n v="2"/>
    <s v="Sales Executive"/>
    <x v="0"/>
    <s v="Married"/>
    <x v="965"/>
    <n v="23343"/>
    <n v="4"/>
    <x v="0"/>
    <x v="1"/>
    <n v="12"/>
    <n v="3"/>
    <n v="3"/>
    <n v="80"/>
    <n v="1"/>
    <n v="7"/>
    <n v="3"/>
    <n v="2"/>
    <n v="4"/>
    <n v="3"/>
    <n v="0"/>
    <n v="3"/>
  </r>
  <r>
    <x v="13"/>
    <x v="1"/>
    <x v="0"/>
    <x v="718"/>
    <x v="1"/>
    <n v="1"/>
    <n v="3"/>
    <s v="Life Sciences"/>
    <x v="0"/>
    <n v="1447"/>
    <x v="2"/>
    <x v="0"/>
    <n v="86"/>
    <n v="2"/>
    <n v="1"/>
    <s v="Laboratory Technician"/>
    <x v="1"/>
    <s v="Married"/>
    <x v="635"/>
    <n v="3708"/>
    <n v="5"/>
    <x v="0"/>
    <x v="1"/>
    <n v="17"/>
    <n v="3"/>
    <n v="1"/>
    <n v="80"/>
    <n v="1"/>
    <n v="7"/>
    <n v="2"/>
    <n v="2"/>
    <n v="5"/>
    <n v="4"/>
    <n v="0"/>
    <n v="2"/>
  </r>
  <r>
    <x v="0"/>
    <x v="1"/>
    <x v="0"/>
    <x v="330"/>
    <x v="1"/>
    <n v="5"/>
    <n v="5"/>
    <s v="Medical"/>
    <x v="0"/>
    <n v="1448"/>
    <x v="0"/>
    <x v="1"/>
    <n v="90"/>
    <n v="4"/>
    <n v="1"/>
    <s v="Research Scientist"/>
    <x v="2"/>
    <s v="Married"/>
    <x v="459"/>
    <n v="5561"/>
    <n v="2"/>
    <x v="0"/>
    <x v="0"/>
    <n v="12"/>
    <n v="3"/>
    <n v="1"/>
    <n v="80"/>
    <n v="0"/>
    <n v="7"/>
    <n v="5"/>
    <n v="2"/>
    <n v="4"/>
    <n v="2"/>
    <n v="0"/>
    <n v="3"/>
  </r>
  <r>
    <x v="32"/>
    <x v="1"/>
    <x v="2"/>
    <x v="204"/>
    <x v="1"/>
    <n v="9"/>
    <n v="4"/>
    <s v="Other"/>
    <x v="0"/>
    <n v="1449"/>
    <x v="1"/>
    <x v="1"/>
    <n v="81"/>
    <n v="3"/>
    <n v="2"/>
    <s v="Laboratory Technician"/>
    <x v="2"/>
    <s v="Divorced"/>
    <x v="966"/>
    <n v="23099"/>
    <n v="3"/>
    <x v="0"/>
    <x v="1"/>
    <n v="11"/>
    <n v="3"/>
    <n v="3"/>
    <n v="80"/>
    <n v="2"/>
    <n v="11"/>
    <n v="2"/>
    <n v="4"/>
    <n v="8"/>
    <n v="7"/>
    <n v="0"/>
    <n v="7"/>
  </r>
  <r>
    <x v="12"/>
    <x v="1"/>
    <x v="0"/>
    <x v="649"/>
    <x v="0"/>
    <n v="8"/>
    <n v="2"/>
    <s v="Life Sciences"/>
    <x v="0"/>
    <n v="1453"/>
    <x v="3"/>
    <x v="1"/>
    <n v="31"/>
    <n v="3"/>
    <n v="3"/>
    <s v="Sales Executive"/>
    <x v="0"/>
    <s v="Divorced"/>
    <x v="967"/>
    <n v="8386"/>
    <n v="1"/>
    <x v="0"/>
    <x v="1"/>
    <n v="18"/>
    <n v="3"/>
    <n v="1"/>
    <n v="80"/>
    <n v="1"/>
    <n v="13"/>
    <n v="5"/>
    <n v="3"/>
    <n v="13"/>
    <n v="7"/>
    <n v="9"/>
    <n v="9"/>
  </r>
  <r>
    <x v="21"/>
    <x v="0"/>
    <x v="0"/>
    <x v="719"/>
    <x v="0"/>
    <n v="9"/>
    <n v="3"/>
    <s v="Marketing"/>
    <x v="0"/>
    <n v="1457"/>
    <x v="3"/>
    <x v="1"/>
    <n v="52"/>
    <n v="3"/>
    <n v="3"/>
    <s v="Sales Executive"/>
    <x v="0"/>
    <s v="Divorced"/>
    <x v="61"/>
    <n v="15986"/>
    <n v="4"/>
    <x v="0"/>
    <x v="1"/>
    <n v="11"/>
    <n v="3"/>
    <n v="1"/>
    <n v="80"/>
    <n v="1"/>
    <n v="28"/>
    <n v="1"/>
    <n v="4"/>
    <n v="7"/>
    <n v="7"/>
    <n v="4"/>
    <n v="3"/>
  </r>
  <r>
    <x v="22"/>
    <x v="0"/>
    <x v="2"/>
    <x v="720"/>
    <x v="1"/>
    <n v="2"/>
    <n v="3"/>
    <s v="Life Sciences"/>
    <x v="0"/>
    <n v="1458"/>
    <x v="3"/>
    <x v="0"/>
    <n v="54"/>
    <n v="2"/>
    <n v="1"/>
    <s v="Laboratory Technician"/>
    <x v="3"/>
    <s v="Single"/>
    <x v="968"/>
    <n v="17181"/>
    <n v="2"/>
    <x v="0"/>
    <x v="0"/>
    <n v="23"/>
    <n v="4"/>
    <n v="2"/>
    <n v="80"/>
    <n v="0"/>
    <n v="11"/>
    <n v="2"/>
    <n v="4"/>
    <n v="1"/>
    <n v="0"/>
    <n v="0"/>
    <n v="0"/>
  </r>
  <r>
    <x v="12"/>
    <x v="0"/>
    <x v="1"/>
    <x v="721"/>
    <x v="1"/>
    <n v="1"/>
    <n v="5"/>
    <s v="Life Sciences"/>
    <x v="0"/>
    <n v="1459"/>
    <x v="1"/>
    <x v="0"/>
    <n v="100"/>
    <n v="4"/>
    <n v="3"/>
    <s v="Manufacturing Director"/>
    <x v="1"/>
    <s v="Single"/>
    <x v="969"/>
    <n v="8931"/>
    <n v="1"/>
    <x v="0"/>
    <x v="1"/>
    <n v="11"/>
    <n v="3"/>
    <n v="1"/>
    <n v="80"/>
    <n v="0"/>
    <n v="10"/>
    <n v="2"/>
    <n v="3"/>
    <n v="10"/>
    <n v="8"/>
    <n v="4"/>
    <n v="7"/>
  </r>
  <r>
    <x v="28"/>
    <x v="1"/>
    <x v="0"/>
    <x v="582"/>
    <x v="1"/>
    <n v="20"/>
    <n v="3"/>
    <s v="Medical"/>
    <x v="0"/>
    <n v="1460"/>
    <x v="0"/>
    <x v="1"/>
    <n v="95"/>
    <n v="1"/>
    <n v="3"/>
    <s v="Healthcare Representative"/>
    <x v="3"/>
    <s v="Divorced"/>
    <x v="970"/>
    <n v="19863"/>
    <n v="2"/>
    <x v="0"/>
    <x v="0"/>
    <n v="18"/>
    <n v="3"/>
    <n v="2"/>
    <n v="80"/>
    <n v="1"/>
    <n v="24"/>
    <n v="2"/>
    <n v="3"/>
    <n v="7"/>
    <n v="7"/>
    <n v="0"/>
    <n v="7"/>
  </r>
  <r>
    <x v="12"/>
    <x v="1"/>
    <x v="0"/>
    <x v="358"/>
    <x v="2"/>
    <n v="8"/>
    <n v="2"/>
    <s v="Medical"/>
    <x v="0"/>
    <n v="1461"/>
    <x v="2"/>
    <x v="0"/>
    <n v="96"/>
    <n v="4"/>
    <n v="1"/>
    <s v="Human Resources"/>
    <x v="1"/>
    <s v="Single"/>
    <x v="971"/>
    <n v="24609"/>
    <n v="9"/>
    <x v="0"/>
    <x v="1"/>
    <n v="18"/>
    <n v="3"/>
    <n v="4"/>
    <n v="80"/>
    <n v="0"/>
    <n v="8"/>
    <n v="3"/>
    <n v="3"/>
    <n v="3"/>
    <n v="2"/>
    <n v="0"/>
    <n v="2"/>
  </r>
  <r>
    <x v="12"/>
    <x v="0"/>
    <x v="1"/>
    <x v="686"/>
    <x v="1"/>
    <n v="2"/>
    <n v="3"/>
    <s v="Life Sciences"/>
    <x v="0"/>
    <n v="1464"/>
    <x v="0"/>
    <x v="1"/>
    <n v="94"/>
    <n v="3"/>
    <n v="1"/>
    <s v="Laboratory Technician"/>
    <x v="0"/>
    <s v="Married"/>
    <x v="972"/>
    <n v="21081"/>
    <n v="6"/>
    <x v="0"/>
    <x v="0"/>
    <n v="13"/>
    <n v="3"/>
    <n v="3"/>
    <n v="80"/>
    <n v="1"/>
    <n v="7"/>
    <n v="2"/>
    <n v="1"/>
    <n v="2"/>
    <n v="2"/>
    <n v="2"/>
    <n v="2"/>
  </r>
  <r>
    <x v="28"/>
    <x v="1"/>
    <x v="0"/>
    <x v="356"/>
    <x v="1"/>
    <n v="29"/>
    <n v="3"/>
    <s v="Technical Degree"/>
    <x v="0"/>
    <n v="1465"/>
    <x v="0"/>
    <x v="1"/>
    <n v="55"/>
    <n v="3"/>
    <n v="3"/>
    <s v="Manufacturing Director"/>
    <x v="0"/>
    <s v="Married"/>
    <x v="973"/>
    <n v="14720"/>
    <n v="4"/>
    <x v="0"/>
    <x v="0"/>
    <n v="18"/>
    <n v="3"/>
    <n v="4"/>
    <n v="80"/>
    <n v="2"/>
    <n v="10"/>
    <n v="4"/>
    <n v="4"/>
    <n v="3"/>
    <n v="1"/>
    <n v="1"/>
    <n v="2"/>
  </r>
  <r>
    <x v="26"/>
    <x v="1"/>
    <x v="0"/>
    <x v="722"/>
    <x v="0"/>
    <n v="7"/>
    <n v="3"/>
    <s v="Marketing"/>
    <x v="0"/>
    <n v="1466"/>
    <x v="1"/>
    <x v="1"/>
    <n v="96"/>
    <n v="3"/>
    <n v="2"/>
    <s v="Sales Executive"/>
    <x v="3"/>
    <s v="Divorced"/>
    <x v="974"/>
    <n v="24795"/>
    <n v="4"/>
    <x v="0"/>
    <x v="1"/>
    <n v="11"/>
    <n v="3"/>
    <n v="1"/>
    <n v="80"/>
    <n v="3"/>
    <n v="15"/>
    <n v="3"/>
    <n v="3"/>
    <n v="2"/>
    <n v="2"/>
    <n v="2"/>
    <n v="2"/>
  </r>
  <r>
    <x v="13"/>
    <x v="0"/>
    <x v="0"/>
    <x v="340"/>
    <x v="2"/>
    <n v="9"/>
    <n v="4"/>
    <s v="Technical Degree"/>
    <x v="0"/>
    <n v="1467"/>
    <x v="3"/>
    <x v="0"/>
    <n v="52"/>
    <n v="3"/>
    <n v="1"/>
    <s v="Human Resources"/>
    <x v="2"/>
    <s v="Married"/>
    <x v="975"/>
    <n v="3072"/>
    <n v="1"/>
    <x v="0"/>
    <x v="1"/>
    <n v="15"/>
    <n v="3"/>
    <n v="4"/>
    <n v="80"/>
    <n v="0"/>
    <n v="2"/>
    <n v="0"/>
    <n v="3"/>
    <n v="2"/>
    <n v="2"/>
    <n v="2"/>
    <n v="2"/>
  </r>
  <r>
    <x v="32"/>
    <x v="1"/>
    <x v="2"/>
    <x v="274"/>
    <x v="1"/>
    <n v="8"/>
    <n v="1"/>
    <s v="Medical"/>
    <x v="0"/>
    <n v="1468"/>
    <x v="2"/>
    <x v="1"/>
    <n v="55"/>
    <n v="2"/>
    <n v="3"/>
    <s v="Research Director"/>
    <x v="1"/>
    <s v="Divorced"/>
    <x v="976"/>
    <n v="25178"/>
    <n v="2"/>
    <x v="0"/>
    <x v="1"/>
    <n v="11"/>
    <n v="3"/>
    <n v="3"/>
    <n v="80"/>
    <n v="1"/>
    <n v="16"/>
    <n v="5"/>
    <n v="3"/>
    <n v="9"/>
    <n v="8"/>
    <n v="4"/>
    <n v="8"/>
  </r>
  <r>
    <x v="14"/>
    <x v="1"/>
    <x v="0"/>
    <x v="723"/>
    <x v="0"/>
    <n v="5"/>
    <n v="3"/>
    <s v="Medical"/>
    <x v="0"/>
    <n v="1469"/>
    <x v="2"/>
    <x v="1"/>
    <n v="84"/>
    <n v="3"/>
    <n v="2"/>
    <s v="Sales Executive"/>
    <x v="3"/>
    <s v="Single"/>
    <x v="977"/>
    <n v="23490"/>
    <n v="0"/>
    <x v="0"/>
    <x v="1"/>
    <n v="18"/>
    <n v="3"/>
    <n v="4"/>
    <n v="80"/>
    <n v="0"/>
    <n v="6"/>
    <n v="4"/>
    <n v="3"/>
    <n v="5"/>
    <n v="4"/>
    <n v="1"/>
    <n v="3"/>
  </r>
  <r>
    <x v="20"/>
    <x v="1"/>
    <x v="2"/>
    <x v="724"/>
    <x v="1"/>
    <n v="5"/>
    <n v="3"/>
    <s v="Life Sciences"/>
    <x v="0"/>
    <n v="1471"/>
    <x v="1"/>
    <x v="1"/>
    <n v="90"/>
    <n v="2"/>
    <n v="1"/>
    <s v="Laboratory Technician"/>
    <x v="2"/>
    <s v="Single"/>
    <x v="612"/>
    <n v="7973"/>
    <n v="3"/>
    <x v="0"/>
    <x v="1"/>
    <n v="14"/>
    <n v="3"/>
    <n v="4"/>
    <n v="80"/>
    <n v="0"/>
    <n v="7"/>
    <n v="5"/>
    <n v="3"/>
    <n v="5"/>
    <n v="2"/>
    <n v="0"/>
    <n v="3"/>
  </r>
  <r>
    <x v="16"/>
    <x v="1"/>
    <x v="0"/>
    <x v="725"/>
    <x v="1"/>
    <n v="2"/>
    <n v="3"/>
    <s v="Medical"/>
    <x v="0"/>
    <n v="1472"/>
    <x v="2"/>
    <x v="1"/>
    <n v="39"/>
    <n v="4"/>
    <n v="4"/>
    <s v="Research Director"/>
    <x v="1"/>
    <s v="Single"/>
    <x v="978"/>
    <n v="19764"/>
    <n v="4"/>
    <x v="0"/>
    <x v="1"/>
    <n v="12"/>
    <n v="3"/>
    <n v="2"/>
    <n v="80"/>
    <n v="0"/>
    <n v="35"/>
    <n v="2"/>
    <n v="2"/>
    <n v="9"/>
    <n v="8"/>
    <n v="8"/>
    <n v="8"/>
  </r>
  <r>
    <x v="1"/>
    <x v="1"/>
    <x v="0"/>
    <x v="393"/>
    <x v="1"/>
    <n v="5"/>
    <n v="4"/>
    <s v="Technical Degree"/>
    <x v="0"/>
    <n v="1473"/>
    <x v="3"/>
    <x v="1"/>
    <n v="96"/>
    <n v="3"/>
    <n v="2"/>
    <s v="Healthcare Representative"/>
    <x v="2"/>
    <s v="Married"/>
    <x v="979"/>
    <n v="21534"/>
    <n v="2"/>
    <x v="0"/>
    <x v="1"/>
    <n v="14"/>
    <n v="3"/>
    <n v="2"/>
    <n v="80"/>
    <n v="1"/>
    <n v="20"/>
    <n v="0"/>
    <n v="2"/>
    <n v="3"/>
    <n v="2"/>
    <n v="1"/>
    <n v="2"/>
  </r>
  <r>
    <x v="32"/>
    <x v="1"/>
    <x v="0"/>
    <x v="199"/>
    <x v="1"/>
    <n v="2"/>
    <n v="3"/>
    <s v="Medical"/>
    <x v="0"/>
    <n v="1474"/>
    <x v="1"/>
    <x v="1"/>
    <n v="68"/>
    <n v="3"/>
    <n v="1"/>
    <s v="Research Scientist"/>
    <x v="2"/>
    <s v="Divorced"/>
    <x v="980"/>
    <n v="8045"/>
    <n v="2"/>
    <x v="0"/>
    <x v="1"/>
    <n v="14"/>
    <n v="3"/>
    <n v="3"/>
    <n v="80"/>
    <n v="1"/>
    <n v="8"/>
    <n v="3"/>
    <n v="4"/>
    <n v="3"/>
    <n v="1"/>
    <n v="1"/>
    <n v="2"/>
  </r>
  <r>
    <x v="20"/>
    <x v="1"/>
    <x v="0"/>
    <x v="115"/>
    <x v="1"/>
    <n v="20"/>
    <n v="3"/>
    <s v="Life Sciences"/>
    <x v="0"/>
    <n v="1475"/>
    <x v="2"/>
    <x v="1"/>
    <n v="49"/>
    <n v="3"/>
    <n v="1"/>
    <s v="Research Scientist"/>
    <x v="1"/>
    <s v="Single"/>
    <x v="959"/>
    <n v="21158"/>
    <n v="1"/>
    <x v="0"/>
    <x v="1"/>
    <n v="13"/>
    <n v="3"/>
    <n v="3"/>
    <n v="80"/>
    <n v="0"/>
    <n v="6"/>
    <n v="3"/>
    <n v="2"/>
    <n v="5"/>
    <n v="2"/>
    <n v="1"/>
    <n v="3"/>
  </r>
  <r>
    <x v="3"/>
    <x v="1"/>
    <x v="1"/>
    <x v="454"/>
    <x v="0"/>
    <n v="7"/>
    <n v="3"/>
    <s v="Medical"/>
    <x v="0"/>
    <n v="1477"/>
    <x v="2"/>
    <x v="1"/>
    <n v="54"/>
    <n v="3"/>
    <n v="2"/>
    <s v="Sales Executive"/>
    <x v="3"/>
    <s v="Married"/>
    <x v="981"/>
    <n v="17456"/>
    <n v="0"/>
    <x v="0"/>
    <x v="1"/>
    <n v="14"/>
    <n v="3"/>
    <n v="1"/>
    <n v="80"/>
    <n v="2"/>
    <n v="5"/>
    <n v="2"/>
    <n v="3"/>
    <n v="4"/>
    <n v="3"/>
    <n v="0"/>
    <n v="3"/>
  </r>
  <r>
    <x v="13"/>
    <x v="1"/>
    <x v="0"/>
    <x v="726"/>
    <x v="0"/>
    <n v="3"/>
    <n v="3"/>
    <s v="Other"/>
    <x v="0"/>
    <n v="1478"/>
    <x v="2"/>
    <x v="1"/>
    <n v="81"/>
    <n v="1"/>
    <n v="2"/>
    <s v="Sales Executive"/>
    <x v="3"/>
    <s v="Single"/>
    <x v="982"/>
    <n v="15891"/>
    <n v="3"/>
    <x v="0"/>
    <x v="1"/>
    <n v="18"/>
    <n v="3"/>
    <n v="4"/>
    <n v="80"/>
    <n v="0"/>
    <n v="15"/>
    <n v="2"/>
    <n v="3"/>
    <n v="13"/>
    <n v="9"/>
    <n v="3"/>
    <n v="12"/>
  </r>
  <r>
    <x v="7"/>
    <x v="1"/>
    <x v="0"/>
    <x v="7"/>
    <x v="0"/>
    <n v="16"/>
    <n v="1"/>
    <s v="Life Sciences"/>
    <x v="0"/>
    <n v="1479"/>
    <x v="2"/>
    <x v="1"/>
    <n v="96"/>
    <n v="3"/>
    <n v="2"/>
    <s v="Sales Executive"/>
    <x v="2"/>
    <s v="Married"/>
    <x v="983"/>
    <n v="2939"/>
    <n v="8"/>
    <x v="0"/>
    <x v="1"/>
    <n v="15"/>
    <n v="3"/>
    <n v="3"/>
    <n v="80"/>
    <n v="2"/>
    <n v="4"/>
    <n v="2"/>
    <n v="2"/>
    <n v="2"/>
    <n v="1"/>
    <n v="2"/>
    <n v="2"/>
  </r>
  <r>
    <x v="19"/>
    <x v="1"/>
    <x v="1"/>
    <x v="727"/>
    <x v="1"/>
    <n v="9"/>
    <n v="2"/>
    <s v="Medical"/>
    <x v="0"/>
    <n v="1480"/>
    <x v="3"/>
    <x v="0"/>
    <n v="74"/>
    <n v="3"/>
    <n v="1"/>
    <s v="Laboratory Technician"/>
    <x v="0"/>
    <s v="Single"/>
    <x v="984"/>
    <n v="16458"/>
    <n v="1"/>
    <x v="0"/>
    <x v="1"/>
    <n v="13"/>
    <n v="3"/>
    <n v="3"/>
    <n v="80"/>
    <n v="0"/>
    <n v="12"/>
    <n v="3"/>
    <n v="3"/>
    <n v="12"/>
    <n v="9"/>
    <n v="5"/>
    <n v="8"/>
  </r>
  <r>
    <x v="20"/>
    <x v="1"/>
    <x v="1"/>
    <x v="715"/>
    <x v="0"/>
    <n v="1"/>
    <n v="5"/>
    <s v="Marketing"/>
    <x v="0"/>
    <n v="1481"/>
    <x v="3"/>
    <x v="0"/>
    <n v="79"/>
    <n v="3"/>
    <n v="2"/>
    <s v="Sales Executive"/>
    <x v="2"/>
    <s v="Married"/>
    <x v="985"/>
    <n v="9282"/>
    <n v="7"/>
    <x v="0"/>
    <x v="1"/>
    <n v="12"/>
    <n v="3"/>
    <n v="3"/>
    <n v="80"/>
    <n v="1"/>
    <n v="11"/>
    <n v="4"/>
    <n v="2"/>
    <n v="1"/>
    <n v="0"/>
    <n v="0"/>
    <n v="0"/>
  </r>
  <r>
    <x v="7"/>
    <x v="1"/>
    <x v="2"/>
    <x v="728"/>
    <x v="1"/>
    <n v="7"/>
    <n v="3"/>
    <s v="Technical Degree"/>
    <x v="0"/>
    <n v="1482"/>
    <x v="1"/>
    <x v="1"/>
    <n v="64"/>
    <n v="3"/>
    <n v="1"/>
    <s v="Research Scientist"/>
    <x v="2"/>
    <s v="Divorced"/>
    <x v="986"/>
    <n v="7152"/>
    <n v="1"/>
    <x v="0"/>
    <x v="1"/>
    <n v="13"/>
    <n v="3"/>
    <n v="2"/>
    <n v="80"/>
    <n v="2"/>
    <n v="1"/>
    <n v="2"/>
    <n v="2"/>
    <n v="1"/>
    <n v="0"/>
    <n v="0"/>
    <n v="0"/>
  </r>
  <r>
    <x v="38"/>
    <x v="1"/>
    <x v="0"/>
    <x v="729"/>
    <x v="1"/>
    <n v="1"/>
    <n v="2"/>
    <s v="Life Sciences"/>
    <x v="0"/>
    <n v="1483"/>
    <x v="0"/>
    <x v="1"/>
    <n v="93"/>
    <n v="4"/>
    <n v="2"/>
    <s v="Research Scientist"/>
    <x v="2"/>
    <s v="Married"/>
    <x v="987"/>
    <n v="2721"/>
    <n v="0"/>
    <x v="0"/>
    <x v="1"/>
    <n v="24"/>
    <n v="4"/>
    <n v="1"/>
    <n v="80"/>
    <n v="1"/>
    <n v="13"/>
    <n v="2"/>
    <n v="2"/>
    <n v="12"/>
    <n v="9"/>
    <n v="2"/>
    <n v="8"/>
  </r>
  <r>
    <x v="1"/>
    <x v="1"/>
    <x v="0"/>
    <x v="351"/>
    <x v="1"/>
    <n v="7"/>
    <n v="4"/>
    <s v="Life Sciences"/>
    <x v="0"/>
    <n v="1484"/>
    <x v="1"/>
    <x v="1"/>
    <n v="35"/>
    <n v="3"/>
    <n v="3"/>
    <s v="Healthcare Representative"/>
    <x v="1"/>
    <s v="Divorced"/>
    <x v="988"/>
    <n v="20948"/>
    <n v="3"/>
    <x v="0"/>
    <x v="1"/>
    <n v="14"/>
    <n v="3"/>
    <n v="2"/>
    <n v="80"/>
    <n v="2"/>
    <n v="29"/>
    <n v="3"/>
    <n v="3"/>
    <n v="8"/>
    <n v="7"/>
    <n v="0"/>
    <n v="7"/>
  </r>
  <r>
    <x v="13"/>
    <x v="1"/>
    <x v="1"/>
    <x v="196"/>
    <x v="1"/>
    <n v="15"/>
    <n v="3"/>
    <s v="Medical"/>
    <x v="0"/>
    <n v="1485"/>
    <x v="0"/>
    <x v="1"/>
    <n v="71"/>
    <n v="3"/>
    <n v="4"/>
    <s v="Research Director"/>
    <x v="3"/>
    <s v="Divorced"/>
    <x v="989"/>
    <n v="11929"/>
    <n v="7"/>
    <x v="0"/>
    <x v="1"/>
    <n v="14"/>
    <n v="3"/>
    <n v="4"/>
    <n v="80"/>
    <n v="2"/>
    <n v="16"/>
    <n v="3"/>
    <n v="2"/>
    <n v="14"/>
    <n v="8"/>
    <n v="6"/>
    <n v="9"/>
  </r>
  <r>
    <x v="14"/>
    <x v="0"/>
    <x v="1"/>
    <x v="150"/>
    <x v="0"/>
    <n v="1"/>
    <n v="3"/>
    <s v="Technical Degree"/>
    <x v="0"/>
    <n v="1486"/>
    <x v="3"/>
    <x v="1"/>
    <n v="92"/>
    <n v="3"/>
    <n v="1"/>
    <s v="Sales Representative"/>
    <x v="2"/>
    <s v="Married"/>
    <x v="3"/>
    <n v="15747"/>
    <n v="3"/>
    <x v="0"/>
    <x v="1"/>
    <n v="15"/>
    <n v="3"/>
    <n v="4"/>
    <n v="80"/>
    <n v="1"/>
    <n v="5"/>
    <n v="3"/>
    <n v="4"/>
    <n v="3"/>
    <n v="2"/>
    <n v="1"/>
    <n v="2"/>
  </r>
  <r>
    <x v="11"/>
    <x v="0"/>
    <x v="1"/>
    <x v="730"/>
    <x v="0"/>
    <n v="13"/>
    <n v="3"/>
    <s v="Technical Degree"/>
    <x v="0"/>
    <n v="1487"/>
    <x v="3"/>
    <x v="0"/>
    <n v="51"/>
    <n v="3"/>
    <n v="2"/>
    <s v="Sales Executive"/>
    <x v="1"/>
    <s v="Single"/>
    <x v="990"/>
    <n v="17485"/>
    <n v="5"/>
    <x v="0"/>
    <x v="1"/>
    <n v="11"/>
    <n v="3"/>
    <n v="1"/>
    <n v="80"/>
    <n v="0"/>
    <n v="7"/>
    <n v="4"/>
    <n v="1"/>
    <n v="5"/>
    <n v="3"/>
    <n v="0"/>
    <n v="0"/>
  </r>
  <r>
    <x v="13"/>
    <x v="0"/>
    <x v="0"/>
    <x v="731"/>
    <x v="0"/>
    <n v="24"/>
    <n v="4"/>
    <s v="Medical"/>
    <x v="0"/>
    <n v="1489"/>
    <x v="3"/>
    <x v="0"/>
    <n v="40"/>
    <n v="2"/>
    <n v="2"/>
    <s v="Sales Executive"/>
    <x v="1"/>
    <s v="Single"/>
    <x v="991"/>
    <n v="7815"/>
    <n v="0"/>
    <x v="0"/>
    <x v="0"/>
    <n v="23"/>
    <n v="4"/>
    <n v="3"/>
    <n v="80"/>
    <n v="0"/>
    <n v="16"/>
    <n v="2"/>
    <n v="4"/>
    <n v="15"/>
    <n v="9"/>
    <n v="10"/>
    <n v="10"/>
  </r>
  <r>
    <x v="10"/>
    <x v="1"/>
    <x v="0"/>
    <x v="588"/>
    <x v="0"/>
    <n v="7"/>
    <n v="1"/>
    <s v="Life Sciences"/>
    <x v="0"/>
    <n v="1492"/>
    <x v="2"/>
    <x v="1"/>
    <n v="76"/>
    <n v="3"/>
    <n v="1"/>
    <s v="Sales Representative"/>
    <x v="2"/>
    <s v="Married"/>
    <x v="639"/>
    <n v="16192"/>
    <n v="1"/>
    <x v="0"/>
    <x v="1"/>
    <n v="13"/>
    <n v="3"/>
    <n v="1"/>
    <n v="80"/>
    <n v="1"/>
    <n v="1"/>
    <n v="3"/>
    <n v="3"/>
    <n v="1"/>
    <n v="0"/>
    <n v="0"/>
    <n v="0"/>
  </r>
  <r>
    <x v="17"/>
    <x v="0"/>
    <x v="1"/>
    <x v="445"/>
    <x v="1"/>
    <n v="9"/>
    <n v="3"/>
    <s v="Medical"/>
    <x v="0"/>
    <n v="1494"/>
    <x v="0"/>
    <x v="1"/>
    <n v="89"/>
    <n v="3"/>
    <n v="1"/>
    <s v="Laboratory Technician"/>
    <x v="3"/>
    <s v="Single"/>
    <x v="992"/>
    <n v="16998"/>
    <n v="2"/>
    <x v="0"/>
    <x v="0"/>
    <n v="11"/>
    <n v="3"/>
    <n v="3"/>
    <n v="80"/>
    <n v="0"/>
    <n v="4"/>
    <n v="2"/>
    <n v="2"/>
    <n v="0"/>
    <n v="0"/>
    <n v="0"/>
    <n v="0"/>
  </r>
  <r>
    <x v="17"/>
    <x v="1"/>
    <x v="2"/>
    <x v="732"/>
    <x v="0"/>
    <n v="13"/>
    <n v="2"/>
    <s v="Life Sciences"/>
    <x v="0"/>
    <n v="1495"/>
    <x v="2"/>
    <x v="0"/>
    <n v="78"/>
    <n v="3"/>
    <n v="1"/>
    <s v="Sales Representative"/>
    <x v="1"/>
    <s v="Married"/>
    <x v="462"/>
    <n v="7103"/>
    <n v="1"/>
    <x v="0"/>
    <x v="1"/>
    <n v="13"/>
    <n v="3"/>
    <n v="3"/>
    <n v="80"/>
    <n v="1"/>
    <n v="1"/>
    <n v="2"/>
    <n v="3"/>
    <n v="1"/>
    <n v="0"/>
    <n v="0"/>
    <n v="0"/>
  </r>
  <r>
    <x v="20"/>
    <x v="1"/>
    <x v="1"/>
    <x v="733"/>
    <x v="1"/>
    <n v="2"/>
    <n v="1"/>
    <s v="Medical"/>
    <x v="0"/>
    <n v="1496"/>
    <x v="0"/>
    <x v="1"/>
    <n v="86"/>
    <n v="3"/>
    <n v="3"/>
    <s v="Manufacturing Director"/>
    <x v="2"/>
    <s v="Single"/>
    <x v="993"/>
    <n v="19719"/>
    <n v="5"/>
    <x v="0"/>
    <x v="0"/>
    <n v="18"/>
    <n v="3"/>
    <n v="2"/>
    <n v="80"/>
    <n v="0"/>
    <n v="16"/>
    <n v="2"/>
    <n v="2"/>
    <n v="2"/>
    <n v="2"/>
    <n v="2"/>
    <n v="2"/>
  </r>
  <r>
    <x v="11"/>
    <x v="1"/>
    <x v="0"/>
    <x v="398"/>
    <x v="0"/>
    <n v="19"/>
    <n v="3"/>
    <s v="Life Sciences"/>
    <x v="0"/>
    <n v="1497"/>
    <x v="1"/>
    <x v="1"/>
    <n v="77"/>
    <n v="2"/>
    <n v="2"/>
    <s v="Sales Executive"/>
    <x v="2"/>
    <s v="Divorced"/>
    <x v="994"/>
    <n v="23757"/>
    <n v="1"/>
    <x v="0"/>
    <x v="1"/>
    <n v="14"/>
    <n v="3"/>
    <n v="3"/>
    <n v="80"/>
    <n v="2"/>
    <n v="10"/>
    <n v="3"/>
    <n v="3"/>
    <n v="10"/>
    <n v="7"/>
    <n v="0"/>
    <n v="4"/>
  </r>
  <r>
    <x v="7"/>
    <x v="1"/>
    <x v="0"/>
    <x v="596"/>
    <x v="2"/>
    <n v="1"/>
    <n v="3"/>
    <s v="Life Sciences"/>
    <x v="0"/>
    <n v="1499"/>
    <x v="1"/>
    <x v="1"/>
    <n v="46"/>
    <n v="3"/>
    <n v="1"/>
    <s v="Human Resources"/>
    <x v="2"/>
    <s v="Divorced"/>
    <x v="995"/>
    <n v="15428"/>
    <n v="0"/>
    <x v="0"/>
    <x v="1"/>
    <n v="21"/>
    <n v="4"/>
    <n v="1"/>
    <n v="80"/>
    <n v="1"/>
    <n v="6"/>
    <n v="3"/>
    <n v="4"/>
    <n v="5"/>
    <n v="3"/>
    <n v="1"/>
    <n v="3"/>
  </r>
  <r>
    <x v="27"/>
    <x v="1"/>
    <x v="0"/>
    <x v="49"/>
    <x v="1"/>
    <n v="4"/>
    <n v="4"/>
    <s v="Life Sciences"/>
    <x v="0"/>
    <n v="1501"/>
    <x v="2"/>
    <x v="1"/>
    <n v="30"/>
    <n v="3"/>
    <n v="2"/>
    <s v="Healthcare Representative"/>
    <x v="2"/>
    <s v="Married"/>
    <x v="996"/>
    <n v="16143"/>
    <n v="0"/>
    <x v="0"/>
    <x v="0"/>
    <n v="16"/>
    <n v="3"/>
    <n v="2"/>
    <n v="80"/>
    <n v="0"/>
    <n v="4"/>
    <n v="2"/>
    <n v="3"/>
    <n v="3"/>
    <n v="2"/>
    <n v="1"/>
    <n v="2"/>
  </r>
  <r>
    <x v="3"/>
    <x v="1"/>
    <x v="0"/>
    <x v="361"/>
    <x v="1"/>
    <n v="4"/>
    <n v="4"/>
    <s v="Medical"/>
    <x v="0"/>
    <n v="1502"/>
    <x v="3"/>
    <x v="0"/>
    <n v="82"/>
    <n v="2"/>
    <n v="1"/>
    <s v="Laboratory Technician"/>
    <x v="1"/>
    <s v="Married"/>
    <x v="997"/>
    <n v="8192"/>
    <n v="8"/>
    <x v="0"/>
    <x v="1"/>
    <n v="11"/>
    <n v="3"/>
    <n v="4"/>
    <n v="80"/>
    <n v="0"/>
    <n v="8"/>
    <n v="5"/>
    <n v="3"/>
    <n v="5"/>
    <n v="4"/>
    <n v="0"/>
    <n v="2"/>
  </r>
  <r>
    <x v="40"/>
    <x v="1"/>
    <x v="0"/>
    <x v="469"/>
    <x v="0"/>
    <n v="14"/>
    <n v="3"/>
    <s v="Medical"/>
    <x v="0"/>
    <n v="1503"/>
    <x v="1"/>
    <x v="0"/>
    <n v="78"/>
    <n v="3"/>
    <n v="2"/>
    <s v="Sales Executive"/>
    <x v="2"/>
    <s v="Married"/>
    <x v="998"/>
    <n v="24200"/>
    <n v="3"/>
    <x v="0"/>
    <x v="0"/>
    <n v="17"/>
    <n v="3"/>
    <n v="3"/>
    <n v="80"/>
    <n v="1"/>
    <n v="11"/>
    <n v="4"/>
    <n v="2"/>
    <n v="5"/>
    <n v="4"/>
    <n v="1"/>
    <n v="2"/>
  </r>
  <r>
    <x v="14"/>
    <x v="0"/>
    <x v="1"/>
    <x v="550"/>
    <x v="1"/>
    <n v="2"/>
    <n v="2"/>
    <s v="Medical"/>
    <x v="0"/>
    <n v="1504"/>
    <x v="1"/>
    <x v="1"/>
    <n v="38"/>
    <n v="2"/>
    <n v="1"/>
    <s v="Laboratory Technician"/>
    <x v="3"/>
    <s v="Single"/>
    <x v="999"/>
    <n v="5355"/>
    <n v="7"/>
    <x v="0"/>
    <x v="1"/>
    <n v="11"/>
    <n v="3"/>
    <n v="3"/>
    <n v="80"/>
    <n v="0"/>
    <n v="8"/>
    <n v="2"/>
    <n v="2"/>
    <n v="0"/>
    <n v="0"/>
    <n v="0"/>
    <n v="0"/>
  </r>
  <r>
    <x v="14"/>
    <x v="1"/>
    <x v="0"/>
    <x v="734"/>
    <x v="1"/>
    <n v="1"/>
    <n v="3"/>
    <s v="Life Sciences"/>
    <x v="0"/>
    <n v="1506"/>
    <x v="3"/>
    <x v="1"/>
    <n v="72"/>
    <n v="2"/>
    <n v="1"/>
    <s v="Research Scientist"/>
    <x v="2"/>
    <s v="Divorced"/>
    <x v="1000"/>
    <n v="12530"/>
    <n v="1"/>
    <x v="0"/>
    <x v="1"/>
    <n v="14"/>
    <n v="3"/>
    <n v="4"/>
    <n v="80"/>
    <n v="1"/>
    <n v="1"/>
    <n v="2"/>
    <n v="1"/>
    <n v="1"/>
    <n v="0"/>
    <n v="0"/>
    <n v="0"/>
  </r>
  <r>
    <x v="14"/>
    <x v="1"/>
    <x v="1"/>
    <x v="735"/>
    <x v="0"/>
    <n v="7"/>
    <n v="3"/>
    <s v="Life Sciences"/>
    <x v="0"/>
    <n v="1507"/>
    <x v="1"/>
    <x v="1"/>
    <n v="55"/>
    <n v="3"/>
    <n v="2"/>
    <s v="Sales Executive"/>
    <x v="3"/>
    <s v="Single"/>
    <x v="249"/>
    <n v="11827"/>
    <n v="0"/>
    <x v="0"/>
    <x v="1"/>
    <n v="14"/>
    <n v="3"/>
    <n v="4"/>
    <n v="80"/>
    <n v="0"/>
    <n v="5"/>
    <n v="5"/>
    <n v="3"/>
    <n v="4"/>
    <n v="2"/>
    <n v="1"/>
    <n v="3"/>
  </r>
  <r>
    <x v="1"/>
    <x v="1"/>
    <x v="0"/>
    <x v="736"/>
    <x v="1"/>
    <n v="3"/>
    <n v="2"/>
    <s v="Medical"/>
    <x v="0"/>
    <n v="1509"/>
    <x v="1"/>
    <x v="0"/>
    <n v="43"/>
    <n v="2"/>
    <n v="2"/>
    <s v="Laboratory Technician"/>
    <x v="3"/>
    <s v="Married"/>
    <x v="1001"/>
    <n v="23070"/>
    <n v="4"/>
    <x v="0"/>
    <x v="1"/>
    <n v="25"/>
    <n v="4"/>
    <n v="1"/>
    <n v="80"/>
    <n v="1"/>
    <n v="10"/>
    <n v="3"/>
    <n v="3"/>
    <n v="3"/>
    <n v="2"/>
    <n v="1"/>
    <n v="2"/>
  </r>
  <r>
    <x v="11"/>
    <x v="1"/>
    <x v="1"/>
    <x v="737"/>
    <x v="1"/>
    <n v="2"/>
    <n v="1"/>
    <s v="Life Sciences"/>
    <x v="0"/>
    <n v="1513"/>
    <x v="2"/>
    <x v="0"/>
    <n v="97"/>
    <n v="3"/>
    <n v="1"/>
    <s v="Laboratory Technician"/>
    <x v="1"/>
    <s v="Married"/>
    <x v="1002"/>
    <n v="4668"/>
    <n v="0"/>
    <x v="0"/>
    <x v="1"/>
    <n v="13"/>
    <n v="3"/>
    <n v="3"/>
    <n v="80"/>
    <n v="3"/>
    <n v="4"/>
    <n v="3"/>
    <n v="3"/>
    <n v="3"/>
    <n v="2"/>
    <n v="0"/>
    <n v="2"/>
  </r>
  <r>
    <x v="14"/>
    <x v="1"/>
    <x v="0"/>
    <x v="738"/>
    <x v="1"/>
    <n v="29"/>
    <n v="1"/>
    <s v="Life Sciences"/>
    <x v="0"/>
    <n v="1514"/>
    <x v="1"/>
    <x v="1"/>
    <n v="96"/>
    <n v="1"/>
    <n v="2"/>
    <s v="Manufacturing Director"/>
    <x v="1"/>
    <s v="Married"/>
    <x v="1003"/>
    <n v="3173"/>
    <n v="1"/>
    <x v="0"/>
    <x v="1"/>
    <n v="14"/>
    <n v="3"/>
    <n v="2"/>
    <n v="80"/>
    <n v="2"/>
    <n v="8"/>
    <n v="2"/>
    <n v="2"/>
    <n v="8"/>
    <n v="6"/>
    <n v="1"/>
    <n v="7"/>
  </r>
  <r>
    <x v="3"/>
    <x v="1"/>
    <x v="0"/>
    <x v="739"/>
    <x v="1"/>
    <n v="8"/>
    <n v="5"/>
    <s v="Life Sciences"/>
    <x v="0"/>
    <n v="1515"/>
    <x v="2"/>
    <x v="1"/>
    <n v="69"/>
    <n v="3"/>
    <n v="2"/>
    <s v="Healthcare Representative"/>
    <x v="2"/>
    <s v="Single"/>
    <x v="1004"/>
    <n v="22049"/>
    <n v="2"/>
    <x v="0"/>
    <x v="0"/>
    <n v="17"/>
    <n v="3"/>
    <n v="1"/>
    <n v="80"/>
    <n v="0"/>
    <n v="14"/>
    <n v="6"/>
    <n v="3"/>
    <n v="0"/>
    <n v="0"/>
    <n v="0"/>
    <n v="0"/>
  </r>
  <r>
    <x v="5"/>
    <x v="1"/>
    <x v="0"/>
    <x v="682"/>
    <x v="1"/>
    <n v="10"/>
    <n v="3"/>
    <s v="Medical"/>
    <x v="0"/>
    <n v="1516"/>
    <x v="1"/>
    <x v="1"/>
    <n v="64"/>
    <n v="3"/>
    <n v="3"/>
    <s v="Manager"/>
    <x v="0"/>
    <s v="Single"/>
    <x v="1005"/>
    <n v="21072"/>
    <n v="2"/>
    <x v="0"/>
    <x v="1"/>
    <n v="25"/>
    <n v="4"/>
    <n v="2"/>
    <n v="80"/>
    <n v="0"/>
    <n v="10"/>
    <n v="5"/>
    <n v="4"/>
    <n v="5"/>
    <n v="2"/>
    <n v="0"/>
    <n v="0"/>
  </r>
  <r>
    <x v="33"/>
    <x v="1"/>
    <x v="1"/>
    <x v="604"/>
    <x v="1"/>
    <n v="11"/>
    <n v="4"/>
    <s v="Medical"/>
    <x v="0"/>
    <n v="1520"/>
    <x v="0"/>
    <x v="0"/>
    <n v="87"/>
    <n v="3"/>
    <n v="4"/>
    <s v="Manager"/>
    <x v="0"/>
    <s v="Divorced"/>
    <x v="1006"/>
    <n v="24456"/>
    <n v="3"/>
    <x v="0"/>
    <x v="1"/>
    <n v="20"/>
    <n v="4"/>
    <n v="1"/>
    <n v="80"/>
    <n v="1"/>
    <n v="26"/>
    <n v="2"/>
    <n v="3"/>
    <n v="14"/>
    <n v="9"/>
    <n v="1"/>
    <n v="12"/>
  </r>
  <r>
    <x v="11"/>
    <x v="0"/>
    <x v="0"/>
    <x v="740"/>
    <x v="1"/>
    <n v="1"/>
    <n v="4"/>
    <s v="Technical Degree"/>
    <x v="0"/>
    <n v="1522"/>
    <x v="3"/>
    <x v="1"/>
    <n v="100"/>
    <n v="2"/>
    <n v="1"/>
    <s v="Research Scientist"/>
    <x v="3"/>
    <s v="Single"/>
    <x v="898"/>
    <n v="7568"/>
    <n v="6"/>
    <x v="0"/>
    <x v="1"/>
    <n v="13"/>
    <n v="3"/>
    <n v="3"/>
    <n v="80"/>
    <n v="0"/>
    <n v="11"/>
    <n v="2"/>
    <n v="1"/>
    <n v="9"/>
    <n v="7"/>
    <n v="0"/>
    <n v="7"/>
  </r>
  <r>
    <x v="20"/>
    <x v="1"/>
    <x v="0"/>
    <x v="741"/>
    <x v="1"/>
    <n v="28"/>
    <n v="3"/>
    <s v="Life Sciences"/>
    <x v="0"/>
    <n v="1523"/>
    <x v="2"/>
    <x v="1"/>
    <n v="32"/>
    <n v="3"/>
    <n v="4"/>
    <s v="Research Director"/>
    <x v="3"/>
    <s v="Married"/>
    <x v="1007"/>
    <n v="22074"/>
    <n v="3"/>
    <x v="0"/>
    <x v="1"/>
    <n v="13"/>
    <n v="3"/>
    <n v="3"/>
    <n v="80"/>
    <n v="1"/>
    <n v="24"/>
    <n v="1"/>
    <n v="4"/>
    <n v="20"/>
    <n v="6"/>
    <n v="14"/>
    <n v="17"/>
  </r>
  <r>
    <x v="22"/>
    <x v="1"/>
    <x v="0"/>
    <x v="585"/>
    <x v="1"/>
    <n v="6"/>
    <n v="3"/>
    <s v="Life Sciences"/>
    <x v="0"/>
    <n v="1525"/>
    <x v="0"/>
    <x v="0"/>
    <n v="32"/>
    <n v="3"/>
    <n v="3"/>
    <s v="Manufacturing Director"/>
    <x v="1"/>
    <s v="Single"/>
    <x v="1008"/>
    <n v="9150"/>
    <n v="4"/>
    <x v="0"/>
    <x v="1"/>
    <n v="18"/>
    <n v="3"/>
    <n v="4"/>
    <n v="80"/>
    <n v="0"/>
    <n v="9"/>
    <n v="3"/>
    <n v="3"/>
    <n v="2"/>
    <n v="0"/>
    <n v="2"/>
    <n v="2"/>
  </r>
  <r>
    <x v="21"/>
    <x v="1"/>
    <x v="0"/>
    <x v="247"/>
    <x v="0"/>
    <n v="3"/>
    <n v="3"/>
    <s v="Life Sciences"/>
    <x v="0"/>
    <n v="1527"/>
    <x v="1"/>
    <x v="0"/>
    <n v="51"/>
    <n v="3"/>
    <n v="4"/>
    <s v="Manager"/>
    <x v="1"/>
    <s v="Married"/>
    <x v="1009"/>
    <n v="11380"/>
    <n v="8"/>
    <x v="0"/>
    <x v="1"/>
    <n v="12"/>
    <n v="3"/>
    <n v="4"/>
    <n v="80"/>
    <n v="1"/>
    <n v="23"/>
    <n v="2"/>
    <n v="4"/>
    <n v="13"/>
    <n v="12"/>
    <n v="5"/>
    <n v="1"/>
  </r>
  <r>
    <x v="10"/>
    <x v="1"/>
    <x v="0"/>
    <x v="742"/>
    <x v="1"/>
    <n v="16"/>
    <n v="3"/>
    <s v="Life Sciences"/>
    <x v="0"/>
    <n v="1529"/>
    <x v="2"/>
    <x v="0"/>
    <n v="91"/>
    <n v="2"/>
    <n v="3"/>
    <s v="Healthcare Representative"/>
    <x v="1"/>
    <s v="Single"/>
    <x v="1010"/>
    <n v="21195"/>
    <n v="1"/>
    <x v="0"/>
    <x v="1"/>
    <n v="19"/>
    <n v="3"/>
    <n v="4"/>
    <n v="80"/>
    <n v="0"/>
    <n v="11"/>
    <n v="3"/>
    <n v="1"/>
    <n v="11"/>
    <n v="8"/>
    <n v="3"/>
    <n v="3"/>
  </r>
  <r>
    <x v="30"/>
    <x v="1"/>
    <x v="0"/>
    <x v="687"/>
    <x v="1"/>
    <n v="20"/>
    <n v="1"/>
    <s v="Life Sciences"/>
    <x v="0"/>
    <n v="1533"/>
    <x v="3"/>
    <x v="1"/>
    <n v="97"/>
    <n v="3"/>
    <n v="2"/>
    <s v="Laboratory Technician"/>
    <x v="2"/>
    <s v="Single"/>
    <x v="1011"/>
    <n v="24812"/>
    <n v="0"/>
    <x v="0"/>
    <x v="1"/>
    <n v="14"/>
    <n v="3"/>
    <n v="2"/>
    <n v="80"/>
    <n v="0"/>
    <n v="5"/>
    <n v="2"/>
    <n v="3"/>
    <n v="4"/>
    <n v="3"/>
    <n v="1"/>
    <n v="2"/>
  </r>
  <r>
    <x v="32"/>
    <x v="0"/>
    <x v="0"/>
    <x v="479"/>
    <x v="1"/>
    <n v="9"/>
    <n v="4"/>
    <s v="Life Sciences"/>
    <x v="0"/>
    <n v="1534"/>
    <x v="2"/>
    <x v="1"/>
    <n v="86"/>
    <n v="3"/>
    <n v="1"/>
    <s v="Laboratory Technician"/>
    <x v="3"/>
    <s v="Single"/>
    <x v="1012"/>
    <n v="21831"/>
    <n v="3"/>
    <x v="0"/>
    <x v="1"/>
    <n v="14"/>
    <n v="3"/>
    <n v="2"/>
    <n v="80"/>
    <n v="0"/>
    <n v="15"/>
    <n v="3"/>
    <n v="1"/>
    <n v="5"/>
    <n v="4"/>
    <n v="1"/>
    <n v="0"/>
  </r>
  <r>
    <x v="13"/>
    <x v="1"/>
    <x v="0"/>
    <x v="710"/>
    <x v="0"/>
    <n v="1"/>
    <n v="3"/>
    <s v="Technical Degree"/>
    <x v="0"/>
    <n v="1535"/>
    <x v="2"/>
    <x v="1"/>
    <n v="64"/>
    <n v="2"/>
    <n v="3"/>
    <s v="Sales Executive"/>
    <x v="2"/>
    <s v="Married"/>
    <x v="1013"/>
    <n v="12288"/>
    <n v="1"/>
    <x v="0"/>
    <x v="0"/>
    <n v="14"/>
    <n v="3"/>
    <n v="4"/>
    <n v="80"/>
    <n v="0"/>
    <n v="10"/>
    <n v="3"/>
    <n v="3"/>
    <n v="10"/>
    <n v="9"/>
    <n v="8"/>
    <n v="6"/>
  </r>
  <r>
    <x v="12"/>
    <x v="0"/>
    <x v="1"/>
    <x v="380"/>
    <x v="1"/>
    <n v="3"/>
    <n v="3"/>
    <s v="Life Sciences"/>
    <x v="0"/>
    <n v="1537"/>
    <x v="2"/>
    <x v="0"/>
    <n v="33"/>
    <n v="3"/>
    <n v="1"/>
    <s v="Research Scientist"/>
    <x v="2"/>
    <s v="Single"/>
    <x v="1014"/>
    <n v="4156"/>
    <n v="1"/>
    <x v="0"/>
    <x v="1"/>
    <n v="12"/>
    <n v="3"/>
    <n v="1"/>
    <n v="80"/>
    <n v="0"/>
    <n v="7"/>
    <n v="2"/>
    <n v="1"/>
    <n v="7"/>
    <n v="2"/>
    <n v="7"/>
    <n v="7"/>
  </r>
  <r>
    <x v="24"/>
    <x v="1"/>
    <x v="1"/>
    <x v="743"/>
    <x v="1"/>
    <n v="22"/>
    <n v="5"/>
    <s v="Medical"/>
    <x v="0"/>
    <n v="1539"/>
    <x v="1"/>
    <x v="1"/>
    <n v="88"/>
    <n v="1"/>
    <n v="4"/>
    <s v="Research Director"/>
    <x v="0"/>
    <s v="Single"/>
    <x v="1015"/>
    <n v="24450"/>
    <n v="1"/>
    <x v="0"/>
    <x v="0"/>
    <n v="13"/>
    <n v="3"/>
    <n v="4"/>
    <n v="80"/>
    <n v="0"/>
    <n v="32"/>
    <n v="2"/>
    <n v="3"/>
    <n v="32"/>
    <n v="6"/>
    <n v="13"/>
    <n v="9"/>
  </r>
  <r>
    <x v="13"/>
    <x v="1"/>
    <x v="0"/>
    <x v="744"/>
    <x v="0"/>
    <n v="7"/>
    <n v="2"/>
    <s v="Technical Degree"/>
    <x v="0"/>
    <n v="1541"/>
    <x v="0"/>
    <x v="1"/>
    <n v="55"/>
    <n v="3"/>
    <n v="1"/>
    <s v="Sales Representative"/>
    <x v="2"/>
    <s v="Married"/>
    <x v="1016"/>
    <n v="4944"/>
    <n v="0"/>
    <x v="0"/>
    <x v="0"/>
    <n v="25"/>
    <n v="4"/>
    <n v="2"/>
    <n v="80"/>
    <n v="1"/>
    <n v="12"/>
    <n v="4"/>
    <n v="3"/>
    <n v="11"/>
    <n v="10"/>
    <n v="5"/>
    <n v="7"/>
  </r>
  <r>
    <x v="19"/>
    <x v="1"/>
    <x v="0"/>
    <x v="239"/>
    <x v="1"/>
    <n v="2"/>
    <n v="3"/>
    <s v="Medical"/>
    <x v="0"/>
    <n v="1542"/>
    <x v="1"/>
    <x v="1"/>
    <n v="68"/>
    <n v="2"/>
    <n v="1"/>
    <s v="Laboratory Technician"/>
    <x v="1"/>
    <s v="Married"/>
    <x v="1017"/>
    <n v="24052"/>
    <n v="4"/>
    <x v="0"/>
    <x v="1"/>
    <n v="14"/>
    <n v="3"/>
    <n v="2"/>
    <n v="80"/>
    <n v="1"/>
    <n v="4"/>
    <n v="3"/>
    <n v="3"/>
    <n v="1"/>
    <n v="0"/>
    <n v="0"/>
    <n v="0"/>
  </r>
  <r>
    <x v="2"/>
    <x v="1"/>
    <x v="0"/>
    <x v="745"/>
    <x v="1"/>
    <n v="13"/>
    <n v="3"/>
    <s v="Medical"/>
    <x v="0"/>
    <n v="1543"/>
    <x v="3"/>
    <x v="1"/>
    <n v="47"/>
    <n v="3"/>
    <n v="2"/>
    <s v="Research Scientist"/>
    <x v="0"/>
    <s v="Married"/>
    <x v="1018"/>
    <n v="3031"/>
    <n v="1"/>
    <x v="0"/>
    <x v="1"/>
    <n v="17"/>
    <n v="3"/>
    <n v="1"/>
    <n v="80"/>
    <n v="0"/>
    <n v="10"/>
    <n v="2"/>
    <n v="3"/>
    <n v="10"/>
    <n v="8"/>
    <n v="3"/>
    <n v="7"/>
  </r>
  <r>
    <x v="11"/>
    <x v="1"/>
    <x v="0"/>
    <x v="120"/>
    <x v="1"/>
    <n v="8"/>
    <n v="1"/>
    <s v="Other"/>
    <x v="0"/>
    <n v="1544"/>
    <x v="1"/>
    <x v="0"/>
    <n v="39"/>
    <n v="1"/>
    <n v="2"/>
    <s v="Healthcare Representative"/>
    <x v="3"/>
    <s v="Married"/>
    <x v="1019"/>
    <n v="7288"/>
    <n v="3"/>
    <x v="0"/>
    <x v="1"/>
    <n v="13"/>
    <n v="3"/>
    <n v="3"/>
    <n v="80"/>
    <n v="1"/>
    <n v="9"/>
    <n v="3"/>
    <n v="3"/>
    <n v="7"/>
    <n v="7"/>
    <n v="0"/>
    <n v="7"/>
  </r>
  <r>
    <x v="3"/>
    <x v="1"/>
    <x v="0"/>
    <x v="328"/>
    <x v="1"/>
    <n v="25"/>
    <n v="3"/>
    <s v="Life Sciences"/>
    <x v="0"/>
    <n v="1545"/>
    <x v="2"/>
    <x v="1"/>
    <n v="44"/>
    <n v="2"/>
    <n v="2"/>
    <s v="Manufacturing Director"/>
    <x v="1"/>
    <s v="Single"/>
    <x v="1020"/>
    <n v="24152"/>
    <n v="1"/>
    <x v="0"/>
    <x v="1"/>
    <n v="13"/>
    <n v="3"/>
    <n v="4"/>
    <n v="80"/>
    <n v="0"/>
    <n v="5"/>
    <n v="2"/>
    <n v="3"/>
    <n v="5"/>
    <n v="3"/>
    <n v="0"/>
    <n v="2"/>
  </r>
  <r>
    <x v="28"/>
    <x v="1"/>
    <x v="0"/>
    <x v="265"/>
    <x v="1"/>
    <n v="28"/>
    <n v="3"/>
    <s v="Technical Degree"/>
    <x v="0"/>
    <n v="1546"/>
    <x v="2"/>
    <x v="1"/>
    <n v="97"/>
    <n v="3"/>
    <n v="1"/>
    <s v="Research Scientist"/>
    <x v="0"/>
    <s v="Married"/>
    <x v="685"/>
    <n v="4585"/>
    <n v="4"/>
    <x v="0"/>
    <x v="1"/>
    <n v="20"/>
    <n v="4"/>
    <n v="4"/>
    <n v="80"/>
    <n v="1"/>
    <n v="8"/>
    <n v="3"/>
    <n v="3"/>
    <n v="5"/>
    <n v="4"/>
    <n v="0"/>
    <n v="3"/>
  </r>
  <r>
    <x v="19"/>
    <x v="1"/>
    <x v="1"/>
    <x v="87"/>
    <x v="1"/>
    <n v="2"/>
    <n v="3"/>
    <s v="Life Sciences"/>
    <x v="0"/>
    <n v="1547"/>
    <x v="2"/>
    <x v="1"/>
    <n v="40"/>
    <n v="3"/>
    <n v="3"/>
    <s v="Healthcare Representative"/>
    <x v="0"/>
    <s v="Married"/>
    <x v="1021"/>
    <n v="18611"/>
    <n v="2"/>
    <x v="0"/>
    <x v="0"/>
    <n v="14"/>
    <n v="3"/>
    <n v="3"/>
    <n v="80"/>
    <n v="1"/>
    <n v="24"/>
    <n v="3"/>
    <n v="1"/>
    <n v="20"/>
    <n v="8"/>
    <n v="13"/>
    <n v="9"/>
  </r>
  <r>
    <x v="32"/>
    <x v="1"/>
    <x v="0"/>
    <x v="746"/>
    <x v="0"/>
    <n v="9"/>
    <n v="2"/>
    <s v="Medical"/>
    <x v="0"/>
    <n v="1548"/>
    <x v="3"/>
    <x v="1"/>
    <n v="47"/>
    <n v="3"/>
    <n v="2"/>
    <s v="Sales Executive"/>
    <x v="3"/>
    <s v="Married"/>
    <x v="67"/>
    <n v="19345"/>
    <n v="0"/>
    <x v="0"/>
    <x v="1"/>
    <n v="12"/>
    <n v="3"/>
    <n v="4"/>
    <n v="80"/>
    <n v="0"/>
    <n v="9"/>
    <n v="5"/>
    <n v="4"/>
    <n v="8"/>
    <n v="4"/>
    <n v="7"/>
    <n v="1"/>
  </r>
  <r>
    <x v="3"/>
    <x v="1"/>
    <x v="0"/>
    <x v="490"/>
    <x v="1"/>
    <n v="28"/>
    <n v="4"/>
    <s v="Life Sciences"/>
    <x v="0"/>
    <n v="1549"/>
    <x v="0"/>
    <x v="1"/>
    <n v="79"/>
    <n v="3"/>
    <n v="2"/>
    <s v="Laboratory Technician"/>
    <x v="2"/>
    <s v="Married"/>
    <x v="1022"/>
    <n v="22949"/>
    <n v="1"/>
    <x v="0"/>
    <x v="0"/>
    <n v="12"/>
    <n v="3"/>
    <n v="2"/>
    <n v="80"/>
    <n v="1"/>
    <n v="15"/>
    <n v="3"/>
    <n v="3"/>
    <n v="15"/>
    <n v="14"/>
    <n v="5"/>
    <n v="7"/>
  </r>
  <r>
    <x v="32"/>
    <x v="1"/>
    <x v="0"/>
    <x v="747"/>
    <x v="2"/>
    <n v="6"/>
    <n v="2"/>
    <s v="Medical"/>
    <x v="0"/>
    <n v="1550"/>
    <x v="1"/>
    <x v="1"/>
    <n v="38"/>
    <n v="3"/>
    <n v="4"/>
    <s v="Manager"/>
    <x v="0"/>
    <s v="Single"/>
    <x v="1023"/>
    <n v="17381"/>
    <n v="1"/>
    <x v="0"/>
    <x v="0"/>
    <n v="21"/>
    <n v="4"/>
    <n v="4"/>
    <n v="80"/>
    <n v="0"/>
    <n v="21"/>
    <n v="2"/>
    <n v="3"/>
    <n v="21"/>
    <n v="7"/>
    <n v="7"/>
    <n v="7"/>
  </r>
  <r>
    <x v="17"/>
    <x v="1"/>
    <x v="0"/>
    <x v="323"/>
    <x v="1"/>
    <n v="21"/>
    <n v="2"/>
    <s v="Technical Degree"/>
    <x v="0"/>
    <n v="1551"/>
    <x v="1"/>
    <x v="1"/>
    <n v="57"/>
    <n v="2"/>
    <n v="1"/>
    <s v="Laboratory Technician"/>
    <x v="3"/>
    <s v="Divorced"/>
    <x v="1024"/>
    <n v="10036"/>
    <n v="0"/>
    <x v="0"/>
    <x v="1"/>
    <n v="14"/>
    <n v="3"/>
    <n v="2"/>
    <n v="80"/>
    <n v="3"/>
    <n v="2"/>
    <n v="3"/>
    <n v="3"/>
    <n v="1"/>
    <n v="1"/>
    <n v="0"/>
    <n v="0"/>
  </r>
  <r>
    <x v="32"/>
    <x v="1"/>
    <x v="2"/>
    <x v="57"/>
    <x v="1"/>
    <n v="8"/>
    <n v="2"/>
    <s v="Life Sciences"/>
    <x v="0"/>
    <n v="1552"/>
    <x v="2"/>
    <x v="1"/>
    <n v="72"/>
    <n v="3"/>
    <n v="2"/>
    <s v="Healthcare Representative"/>
    <x v="0"/>
    <s v="Divorced"/>
    <x v="1025"/>
    <n v="8841"/>
    <n v="3"/>
    <x v="0"/>
    <x v="0"/>
    <n v="18"/>
    <n v="3"/>
    <n v="3"/>
    <n v="80"/>
    <n v="0"/>
    <n v="8"/>
    <n v="2"/>
    <n v="3"/>
    <n v="2"/>
    <n v="2"/>
    <n v="2"/>
    <n v="2"/>
  </r>
  <r>
    <x v="28"/>
    <x v="1"/>
    <x v="0"/>
    <x v="404"/>
    <x v="1"/>
    <n v="1"/>
    <n v="4"/>
    <s v="Technical Degree"/>
    <x v="0"/>
    <n v="1553"/>
    <x v="3"/>
    <x v="1"/>
    <n v="66"/>
    <n v="3"/>
    <n v="3"/>
    <s v="Healthcare Representative"/>
    <x v="1"/>
    <s v="Divorced"/>
    <x v="1026"/>
    <n v="20933"/>
    <n v="1"/>
    <x v="0"/>
    <x v="1"/>
    <n v="12"/>
    <n v="3"/>
    <n v="1"/>
    <n v="80"/>
    <n v="3"/>
    <n v="10"/>
    <n v="4"/>
    <n v="3"/>
    <n v="10"/>
    <n v="8"/>
    <n v="7"/>
    <n v="7"/>
  </r>
  <r>
    <x v="10"/>
    <x v="1"/>
    <x v="0"/>
    <x v="632"/>
    <x v="0"/>
    <n v="28"/>
    <n v="4"/>
    <s v="Life Sciences"/>
    <x v="0"/>
    <n v="1554"/>
    <x v="0"/>
    <x v="0"/>
    <n v="98"/>
    <n v="2"/>
    <n v="1"/>
    <s v="Sales Representative"/>
    <x v="2"/>
    <s v="Married"/>
    <x v="1027"/>
    <n v="26204"/>
    <n v="0"/>
    <x v="0"/>
    <x v="1"/>
    <n v="23"/>
    <n v="4"/>
    <n v="1"/>
    <n v="80"/>
    <n v="2"/>
    <n v="6"/>
    <n v="5"/>
    <n v="3"/>
    <n v="5"/>
    <n v="3"/>
    <n v="4"/>
    <n v="2"/>
  </r>
  <r>
    <x v="5"/>
    <x v="1"/>
    <x v="0"/>
    <x v="748"/>
    <x v="1"/>
    <n v="5"/>
    <n v="2"/>
    <s v="Life Sciences"/>
    <x v="0"/>
    <n v="1555"/>
    <x v="2"/>
    <x v="0"/>
    <n v="67"/>
    <n v="2"/>
    <n v="2"/>
    <s v="Research Scientist"/>
    <x v="1"/>
    <s v="Married"/>
    <x v="1028"/>
    <n v="15624"/>
    <n v="3"/>
    <x v="0"/>
    <x v="1"/>
    <n v="12"/>
    <n v="3"/>
    <n v="1"/>
    <n v="80"/>
    <n v="1"/>
    <n v="12"/>
    <n v="2"/>
    <n v="3"/>
    <n v="7"/>
    <n v="1"/>
    <n v="2"/>
    <n v="5"/>
  </r>
  <r>
    <x v="9"/>
    <x v="1"/>
    <x v="0"/>
    <x v="161"/>
    <x v="0"/>
    <n v="2"/>
    <n v="4"/>
    <s v="Life Sciences"/>
    <x v="0"/>
    <n v="1556"/>
    <x v="1"/>
    <x v="1"/>
    <n v="70"/>
    <n v="3"/>
    <n v="1"/>
    <s v="Sales Representative"/>
    <x v="0"/>
    <s v="Single"/>
    <x v="1029"/>
    <n v="17001"/>
    <n v="3"/>
    <x v="0"/>
    <x v="0"/>
    <n v="21"/>
    <n v="4"/>
    <n v="4"/>
    <n v="80"/>
    <n v="0"/>
    <n v="7"/>
    <n v="3"/>
    <n v="2"/>
    <n v="3"/>
    <n v="2"/>
    <n v="1"/>
    <n v="2"/>
  </r>
  <r>
    <x v="26"/>
    <x v="1"/>
    <x v="0"/>
    <x v="749"/>
    <x v="0"/>
    <n v="16"/>
    <n v="4"/>
    <s v="Life Sciences"/>
    <x v="0"/>
    <n v="1557"/>
    <x v="1"/>
    <x v="0"/>
    <n v="96"/>
    <n v="3"/>
    <n v="2"/>
    <s v="Sales Executive"/>
    <x v="2"/>
    <s v="Divorced"/>
    <x v="1030"/>
    <n v="13693"/>
    <n v="8"/>
    <x v="0"/>
    <x v="1"/>
    <n v="14"/>
    <n v="3"/>
    <n v="3"/>
    <n v="80"/>
    <n v="1"/>
    <n v="18"/>
    <n v="2"/>
    <n v="3"/>
    <n v="8"/>
    <n v="7"/>
    <n v="7"/>
    <n v="7"/>
  </r>
  <r>
    <x v="11"/>
    <x v="1"/>
    <x v="0"/>
    <x v="750"/>
    <x v="1"/>
    <n v="9"/>
    <n v="3"/>
    <s v="Life Sciences"/>
    <x v="0"/>
    <n v="1558"/>
    <x v="1"/>
    <x v="1"/>
    <n v="91"/>
    <n v="4"/>
    <n v="1"/>
    <s v="Research Scientist"/>
    <x v="2"/>
    <s v="Married"/>
    <x v="163"/>
    <n v="22376"/>
    <n v="6"/>
    <x v="0"/>
    <x v="1"/>
    <n v="18"/>
    <n v="3"/>
    <n v="1"/>
    <n v="80"/>
    <n v="2"/>
    <n v="5"/>
    <n v="2"/>
    <n v="2"/>
    <n v="1"/>
    <n v="0"/>
    <n v="0"/>
    <n v="0"/>
  </r>
  <r>
    <x v="3"/>
    <x v="1"/>
    <x v="0"/>
    <x v="197"/>
    <x v="0"/>
    <n v="8"/>
    <n v="4"/>
    <s v="Life Sciences"/>
    <x v="0"/>
    <n v="1560"/>
    <x v="3"/>
    <x v="1"/>
    <n v="46"/>
    <n v="3"/>
    <n v="2"/>
    <s v="Sales Executive"/>
    <x v="3"/>
    <s v="Married"/>
    <x v="1031"/>
    <n v="10589"/>
    <n v="2"/>
    <x v="0"/>
    <x v="1"/>
    <n v="13"/>
    <n v="3"/>
    <n v="4"/>
    <n v="80"/>
    <n v="1"/>
    <n v="8"/>
    <n v="6"/>
    <n v="1"/>
    <n v="2"/>
    <n v="2"/>
    <n v="2"/>
    <n v="2"/>
  </r>
  <r>
    <x v="7"/>
    <x v="0"/>
    <x v="0"/>
    <x v="751"/>
    <x v="0"/>
    <n v="1"/>
    <n v="3"/>
    <s v="Life Sciences"/>
    <x v="0"/>
    <n v="1562"/>
    <x v="0"/>
    <x v="1"/>
    <n v="64"/>
    <n v="2"/>
    <n v="2"/>
    <s v="Sales Executive"/>
    <x v="3"/>
    <s v="Married"/>
    <x v="1032"/>
    <n v="5323"/>
    <n v="1"/>
    <x v="0"/>
    <x v="1"/>
    <n v="11"/>
    <n v="3"/>
    <n v="4"/>
    <n v="80"/>
    <n v="1"/>
    <n v="10"/>
    <n v="4"/>
    <n v="3"/>
    <n v="10"/>
    <n v="8"/>
    <n v="6"/>
    <n v="7"/>
  </r>
  <r>
    <x v="8"/>
    <x v="1"/>
    <x v="1"/>
    <x v="752"/>
    <x v="2"/>
    <n v="10"/>
    <n v="4"/>
    <s v="Human Resources"/>
    <x v="0"/>
    <n v="1563"/>
    <x v="1"/>
    <x v="1"/>
    <n v="71"/>
    <n v="3"/>
    <n v="2"/>
    <s v="Human Resources"/>
    <x v="2"/>
    <s v="Married"/>
    <x v="1033"/>
    <n v="14814"/>
    <n v="3"/>
    <x v="0"/>
    <x v="1"/>
    <n v="11"/>
    <n v="3"/>
    <n v="3"/>
    <n v="80"/>
    <n v="0"/>
    <n v="10"/>
    <n v="2"/>
    <n v="3"/>
    <n v="6"/>
    <n v="3"/>
    <n v="1"/>
    <n v="2"/>
  </r>
  <r>
    <x v="10"/>
    <x v="1"/>
    <x v="0"/>
    <x v="200"/>
    <x v="1"/>
    <n v="1"/>
    <n v="3"/>
    <s v="Medical"/>
    <x v="0"/>
    <n v="1564"/>
    <x v="2"/>
    <x v="1"/>
    <n v="68"/>
    <n v="2"/>
    <n v="1"/>
    <s v="Laboratory Technician"/>
    <x v="3"/>
    <s v="Single"/>
    <x v="533"/>
    <n v="21731"/>
    <n v="1"/>
    <x v="0"/>
    <x v="1"/>
    <n v="19"/>
    <n v="3"/>
    <n v="2"/>
    <n v="80"/>
    <n v="0"/>
    <n v="3"/>
    <n v="3"/>
    <n v="3"/>
    <n v="3"/>
    <n v="0"/>
    <n v="1"/>
    <n v="2"/>
  </r>
  <r>
    <x v="7"/>
    <x v="1"/>
    <x v="0"/>
    <x v="753"/>
    <x v="0"/>
    <n v="29"/>
    <n v="4"/>
    <s v="Technical Degree"/>
    <x v="0"/>
    <n v="1568"/>
    <x v="1"/>
    <x v="1"/>
    <n v="33"/>
    <n v="3"/>
    <n v="3"/>
    <s v="Sales Executive"/>
    <x v="1"/>
    <s v="Married"/>
    <x v="1034"/>
    <n v="17799"/>
    <n v="3"/>
    <x v="0"/>
    <x v="1"/>
    <n v="12"/>
    <n v="3"/>
    <n v="2"/>
    <n v="80"/>
    <n v="1"/>
    <n v="9"/>
    <n v="3"/>
    <n v="3"/>
    <n v="4"/>
    <n v="2"/>
    <n v="1"/>
    <n v="3"/>
  </r>
  <r>
    <x v="10"/>
    <x v="0"/>
    <x v="0"/>
    <x v="754"/>
    <x v="1"/>
    <n v="2"/>
    <n v="3"/>
    <s v="Life Sciences"/>
    <x v="0"/>
    <n v="1569"/>
    <x v="3"/>
    <x v="0"/>
    <n v="69"/>
    <n v="3"/>
    <n v="1"/>
    <s v="Laboratory Technician"/>
    <x v="3"/>
    <s v="Divorced"/>
    <x v="1035"/>
    <n v="26619"/>
    <n v="1"/>
    <x v="0"/>
    <x v="0"/>
    <n v="12"/>
    <n v="3"/>
    <n v="4"/>
    <n v="80"/>
    <n v="1"/>
    <n v="1"/>
    <n v="2"/>
    <n v="3"/>
    <n v="1"/>
    <n v="0"/>
    <n v="0"/>
    <n v="0"/>
  </r>
  <r>
    <x v="16"/>
    <x v="0"/>
    <x v="0"/>
    <x v="504"/>
    <x v="1"/>
    <n v="2"/>
    <n v="5"/>
    <s v="Technical Degree"/>
    <x v="0"/>
    <n v="1572"/>
    <x v="1"/>
    <x v="0"/>
    <n v="78"/>
    <n v="2"/>
    <n v="3"/>
    <s v="Manufacturing Director"/>
    <x v="0"/>
    <s v="Married"/>
    <x v="1036"/>
    <n v="14618"/>
    <n v="0"/>
    <x v="0"/>
    <x v="1"/>
    <n v="16"/>
    <n v="3"/>
    <n v="2"/>
    <n v="80"/>
    <n v="1"/>
    <n v="34"/>
    <n v="4"/>
    <n v="3"/>
    <n v="33"/>
    <n v="7"/>
    <n v="1"/>
    <n v="9"/>
  </r>
  <r>
    <x v="8"/>
    <x v="0"/>
    <x v="0"/>
    <x v="555"/>
    <x v="1"/>
    <n v="2"/>
    <n v="3"/>
    <s v="Medical"/>
    <x v="0"/>
    <n v="1573"/>
    <x v="1"/>
    <x v="1"/>
    <n v="81"/>
    <n v="3"/>
    <n v="2"/>
    <s v="Manufacturing Director"/>
    <x v="1"/>
    <s v="Married"/>
    <x v="1037"/>
    <n v="7653"/>
    <n v="4"/>
    <x v="0"/>
    <x v="1"/>
    <n v="11"/>
    <n v="3"/>
    <n v="1"/>
    <n v="80"/>
    <n v="2"/>
    <n v="7"/>
    <n v="2"/>
    <n v="3"/>
    <n v="5"/>
    <n v="2"/>
    <n v="1"/>
    <n v="4"/>
  </r>
  <r>
    <x v="5"/>
    <x v="1"/>
    <x v="2"/>
    <x v="699"/>
    <x v="1"/>
    <n v="1"/>
    <n v="4"/>
    <s v="Technical Degree"/>
    <x v="0"/>
    <n v="1574"/>
    <x v="2"/>
    <x v="1"/>
    <n v="62"/>
    <n v="3"/>
    <n v="2"/>
    <s v="Research Scientist"/>
    <x v="3"/>
    <s v="Married"/>
    <x v="1038"/>
    <n v="25174"/>
    <n v="4"/>
    <x v="0"/>
    <x v="1"/>
    <n v="14"/>
    <n v="3"/>
    <n v="2"/>
    <n v="80"/>
    <n v="1"/>
    <n v="9"/>
    <n v="3"/>
    <n v="2"/>
    <n v="6"/>
    <n v="5"/>
    <n v="1"/>
    <n v="2"/>
  </r>
  <r>
    <x v="26"/>
    <x v="1"/>
    <x v="0"/>
    <x v="755"/>
    <x v="1"/>
    <n v="15"/>
    <n v="4"/>
    <s v="Other"/>
    <x v="0"/>
    <n v="1576"/>
    <x v="1"/>
    <x v="0"/>
    <n v="65"/>
    <n v="3"/>
    <n v="1"/>
    <s v="Research Scientist"/>
    <x v="3"/>
    <s v="Married"/>
    <x v="1039"/>
    <n v="16530"/>
    <n v="8"/>
    <x v="0"/>
    <x v="1"/>
    <n v="12"/>
    <n v="3"/>
    <n v="4"/>
    <n v="80"/>
    <n v="1"/>
    <n v="10"/>
    <n v="3"/>
    <n v="2"/>
    <n v="8"/>
    <n v="2"/>
    <n v="7"/>
    <n v="6"/>
  </r>
  <r>
    <x v="13"/>
    <x v="1"/>
    <x v="0"/>
    <x v="756"/>
    <x v="1"/>
    <n v="7"/>
    <n v="4"/>
    <s v="Medical"/>
    <x v="0"/>
    <n v="1577"/>
    <x v="3"/>
    <x v="1"/>
    <n v="35"/>
    <n v="3"/>
    <n v="1"/>
    <s v="Research Scientist"/>
    <x v="0"/>
    <s v="Single"/>
    <x v="1040"/>
    <n v="22061"/>
    <n v="1"/>
    <x v="0"/>
    <x v="1"/>
    <n v="13"/>
    <n v="3"/>
    <n v="3"/>
    <n v="80"/>
    <n v="0"/>
    <n v="1"/>
    <n v="4"/>
    <n v="1"/>
    <n v="1"/>
    <n v="0"/>
    <n v="0"/>
    <n v="0"/>
  </r>
  <r>
    <x v="27"/>
    <x v="1"/>
    <x v="0"/>
    <x v="230"/>
    <x v="0"/>
    <n v="26"/>
    <n v="5"/>
    <s v="Marketing"/>
    <x v="0"/>
    <n v="1578"/>
    <x v="1"/>
    <x v="1"/>
    <n v="60"/>
    <n v="2"/>
    <n v="5"/>
    <s v="Manager"/>
    <x v="0"/>
    <s v="Married"/>
    <x v="1041"/>
    <n v="23037"/>
    <n v="1"/>
    <x v="0"/>
    <x v="1"/>
    <n v="21"/>
    <n v="4"/>
    <n v="3"/>
    <n v="80"/>
    <n v="1"/>
    <n v="36"/>
    <n v="3"/>
    <n v="3"/>
    <n v="36"/>
    <n v="6"/>
    <n v="2"/>
    <n v="13"/>
  </r>
  <r>
    <x v="13"/>
    <x v="1"/>
    <x v="0"/>
    <x v="757"/>
    <x v="1"/>
    <n v="1"/>
    <n v="4"/>
    <s v="Life Sciences"/>
    <x v="0"/>
    <n v="1580"/>
    <x v="0"/>
    <x v="1"/>
    <n v="45"/>
    <n v="3"/>
    <n v="2"/>
    <s v="Research Scientist"/>
    <x v="0"/>
    <s v="Married"/>
    <x v="299"/>
    <n v="13008"/>
    <n v="9"/>
    <x v="0"/>
    <x v="1"/>
    <n v="17"/>
    <n v="3"/>
    <n v="2"/>
    <n v="80"/>
    <n v="1"/>
    <n v="9"/>
    <n v="3"/>
    <n v="2"/>
    <n v="2"/>
    <n v="2"/>
    <n v="2"/>
    <n v="1"/>
  </r>
  <r>
    <x v="25"/>
    <x v="1"/>
    <x v="0"/>
    <x v="758"/>
    <x v="1"/>
    <n v="3"/>
    <n v="3"/>
    <s v="Life Sciences"/>
    <x v="0"/>
    <n v="1581"/>
    <x v="3"/>
    <x v="0"/>
    <n v="89"/>
    <n v="3"/>
    <n v="1"/>
    <s v="Research Scientist"/>
    <x v="0"/>
    <s v="Married"/>
    <x v="1042"/>
    <n v="11133"/>
    <n v="1"/>
    <x v="0"/>
    <x v="1"/>
    <n v="21"/>
    <n v="4"/>
    <n v="1"/>
    <n v="80"/>
    <n v="0"/>
    <n v="1"/>
    <n v="5"/>
    <n v="3"/>
    <n v="1"/>
    <n v="0"/>
    <n v="0"/>
    <n v="0"/>
  </r>
  <r>
    <x v="8"/>
    <x v="1"/>
    <x v="0"/>
    <x v="395"/>
    <x v="0"/>
    <n v="14"/>
    <n v="3"/>
    <s v="Life Sciences"/>
    <x v="0"/>
    <n v="1582"/>
    <x v="1"/>
    <x v="1"/>
    <n v="80"/>
    <n v="3"/>
    <n v="2"/>
    <s v="Sales Executive"/>
    <x v="1"/>
    <s v="Married"/>
    <x v="1043"/>
    <n v="12355"/>
    <n v="0"/>
    <x v="0"/>
    <x v="1"/>
    <n v="11"/>
    <n v="3"/>
    <n v="4"/>
    <n v="80"/>
    <n v="1"/>
    <n v="10"/>
    <n v="3"/>
    <n v="3"/>
    <n v="9"/>
    <n v="8"/>
    <n v="7"/>
    <n v="7"/>
  </r>
  <r>
    <x v="8"/>
    <x v="1"/>
    <x v="0"/>
    <x v="759"/>
    <x v="0"/>
    <n v="16"/>
    <n v="3"/>
    <s v="Life Sciences"/>
    <x v="0"/>
    <n v="1583"/>
    <x v="0"/>
    <x v="0"/>
    <n v="90"/>
    <n v="3"/>
    <n v="2"/>
    <s v="Sales Executive"/>
    <x v="1"/>
    <s v="Single"/>
    <x v="1044"/>
    <n v="16379"/>
    <n v="2"/>
    <x v="0"/>
    <x v="1"/>
    <n v="12"/>
    <n v="3"/>
    <n v="2"/>
    <n v="80"/>
    <n v="0"/>
    <n v="8"/>
    <n v="5"/>
    <n v="4"/>
    <n v="3"/>
    <n v="2"/>
    <n v="1"/>
    <n v="2"/>
  </r>
  <r>
    <x v="9"/>
    <x v="1"/>
    <x v="0"/>
    <x v="760"/>
    <x v="0"/>
    <n v="1"/>
    <n v="4"/>
    <s v="Life Sciences"/>
    <x v="0"/>
    <n v="1585"/>
    <x v="0"/>
    <x v="0"/>
    <n v="73"/>
    <n v="3"/>
    <n v="2"/>
    <s v="Sales Executive"/>
    <x v="2"/>
    <s v="Single"/>
    <x v="1045"/>
    <n v="21447"/>
    <n v="6"/>
    <x v="0"/>
    <x v="1"/>
    <n v="13"/>
    <n v="3"/>
    <n v="1"/>
    <n v="80"/>
    <n v="0"/>
    <n v="15"/>
    <n v="5"/>
    <n v="3"/>
    <n v="1"/>
    <n v="0"/>
    <n v="0"/>
    <n v="0"/>
  </r>
  <r>
    <x v="11"/>
    <x v="1"/>
    <x v="0"/>
    <x v="761"/>
    <x v="1"/>
    <n v="3"/>
    <n v="1"/>
    <s v="Medical"/>
    <x v="0"/>
    <n v="1586"/>
    <x v="0"/>
    <x v="1"/>
    <n v="87"/>
    <n v="3"/>
    <n v="1"/>
    <s v="Laboratory Technician"/>
    <x v="3"/>
    <s v="Single"/>
    <x v="1046"/>
    <n v="16213"/>
    <n v="1"/>
    <x v="0"/>
    <x v="0"/>
    <n v="18"/>
    <n v="3"/>
    <n v="4"/>
    <n v="80"/>
    <n v="0"/>
    <n v="10"/>
    <n v="3"/>
    <n v="3"/>
    <n v="10"/>
    <n v="9"/>
    <n v="1"/>
    <n v="5"/>
  </r>
  <r>
    <x v="10"/>
    <x v="1"/>
    <x v="0"/>
    <x v="12"/>
    <x v="1"/>
    <n v="10"/>
    <n v="4"/>
    <s v="Medical"/>
    <x v="0"/>
    <n v="1587"/>
    <x v="3"/>
    <x v="0"/>
    <n v="51"/>
    <n v="3"/>
    <n v="2"/>
    <s v="Healthcare Representative"/>
    <x v="2"/>
    <s v="Single"/>
    <x v="528"/>
    <n v="4223"/>
    <n v="3"/>
    <x v="0"/>
    <x v="0"/>
    <n v="16"/>
    <n v="3"/>
    <n v="3"/>
    <n v="80"/>
    <n v="0"/>
    <n v="10"/>
    <n v="4"/>
    <n v="3"/>
    <n v="5"/>
    <n v="2"/>
    <n v="0"/>
    <n v="4"/>
  </r>
  <r>
    <x v="22"/>
    <x v="1"/>
    <x v="0"/>
    <x v="704"/>
    <x v="0"/>
    <n v="6"/>
    <n v="3"/>
    <s v="Medical"/>
    <x v="0"/>
    <n v="1588"/>
    <x v="2"/>
    <x v="1"/>
    <n v="38"/>
    <n v="4"/>
    <n v="3"/>
    <s v="Sales Executive"/>
    <x v="2"/>
    <s v="Married"/>
    <x v="1047"/>
    <n v="4658"/>
    <n v="2"/>
    <x v="0"/>
    <x v="1"/>
    <n v="11"/>
    <n v="3"/>
    <n v="1"/>
    <n v="80"/>
    <n v="1"/>
    <n v="11"/>
    <n v="3"/>
    <n v="3"/>
    <n v="7"/>
    <n v="6"/>
    <n v="7"/>
    <n v="6"/>
  </r>
  <r>
    <x v="11"/>
    <x v="1"/>
    <x v="1"/>
    <x v="530"/>
    <x v="1"/>
    <n v="2"/>
    <n v="1"/>
    <s v="Life Sciences"/>
    <x v="0"/>
    <n v="1590"/>
    <x v="3"/>
    <x v="1"/>
    <n v="87"/>
    <n v="3"/>
    <n v="2"/>
    <s v="Healthcare Representative"/>
    <x v="0"/>
    <s v="Divorced"/>
    <x v="1048"/>
    <n v="24483"/>
    <n v="1"/>
    <x v="0"/>
    <x v="1"/>
    <n v="19"/>
    <n v="3"/>
    <n v="4"/>
    <n v="80"/>
    <n v="1"/>
    <n v="6"/>
    <n v="0"/>
    <n v="4"/>
    <n v="6"/>
    <n v="4"/>
    <n v="1"/>
    <n v="3"/>
  </r>
  <r>
    <x v="24"/>
    <x v="1"/>
    <x v="0"/>
    <x v="762"/>
    <x v="0"/>
    <n v="9"/>
    <n v="3"/>
    <s v="Marketing"/>
    <x v="0"/>
    <n v="1591"/>
    <x v="1"/>
    <x v="1"/>
    <n v="59"/>
    <n v="3"/>
    <n v="5"/>
    <s v="Manager"/>
    <x v="2"/>
    <s v="Married"/>
    <x v="1049"/>
    <n v="19519"/>
    <n v="4"/>
    <x v="0"/>
    <x v="0"/>
    <n v="16"/>
    <n v="3"/>
    <n v="3"/>
    <n v="80"/>
    <n v="1"/>
    <n v="27"/>
    <n v="2"/>
    <n v="3"/>
    <n v="1"/>
    <n v="0"/>
    <n v="0"/>
    <n v="0"/>
  </r>
  <r>
    <x v="30"/>
    <x v="1"/>
    <x v="0"/>
    <x v="630"/>
    <x v="1"/>
    <n v="10"/>
    <n v="3"/>
    <s v="Technical Degree"/>
    <x v="0"/>
    <n v="1592"/>
    <x v="2"/>
    <x v="1"/>
    <n v="45"/>
    <n v="4"/>
    <n v="1"/>
    <s v="Research Scientist"/>
    <x v="2"/>
    <s v="Married"/>
    <x v="97"/>
    <n v="12826"/>
    <n v="2"/>
    <x v="0"/>
    <x v="1"/>
    <n v="16"/>
    <n v="3"/>
    <n v="4"/>
    <n v="80"/>
    <n v="1"/>
    <n v="4"/>
    <n v="2"/>
    <n v="3"/>
    <n v="2"/>
    <n v="2"/>
    <n v="2"/>
    <n v="2"/>
  </r>
  <r>
    <x v="9"/>
    <x v="1"/>
    <x v="1"/>
    <x v="271"/>
    <x v="1"/>
    <n v="6"/>
    <n v="4"/>
    <s v="Life Sciences"/>
    <x v="0"/>
    <n v="1594"/>
    <x v="3"/>
    <x v="1"/>
    <n v="80"/>
    <n v="4"/>
    <n v="2"/>
    <s v="Laboratory Technician"/>
    <x v="3"/>
    <s v="Married"/>
    <x v="622"/>
    <n v="19711"/>
    <n v="3"/>
    <x v="0"/>
    <x v="0"/>
    <n v="13"/>
    <n v="3"/>
    <n v="4"/>
    <n v="80"/>
    <n v="1"/>
    <n v="9"/>
    <n v="3"/>
    <n v="3"/>
    <n v="3"/>
    <n v="2"/>
    <n v="0"/>
    <n v="2"/>
  </r>
  <r>
    <x v="19"/>
    <x v="1"/>
    <x v="0"/>
    <x v="763"/>
    <x v="1"/>
    <n v="9"/>
    <n v="2"/>
    <s v="Other"/>
    <x v="0"/>
    <n v="1595"/>
    <x v="2"/>
    <x v="1"/>
    <n v="93"/>
    <n v="2"/>
    <n v="5"/>
    <s v="Manager"/>
    <x v="0"/>
    <s v="Single"/>
    <x v="1050"/>
    <n v="26362"/>
    <n v="8"/>
    <x v="0"/>
    <x v="1"/>
    <n v="22"/>
    <n v="4"/>
    <n v="4"/>
    <n v="80"/>
    <n v="0"/>
    <n v="24"/>
    <n v="2"/>
    <n v="3"/>
    <n v="1"/>
    <n v="0"/>
    <n v="0"/>
    <n v="1"/>
  </r>
  <r>
    <x v="10"/>
    <x v="1"/>
    <x v="0"/>
    <x v="119"/>
    <x v="1"/>
    <n v="28"/>
    <n v="3"/>
    <s v="Life Sciences"/>
    <x v="0"/>
    <n v="1596"/>
    <x v="0"/>
    <x v="1"/>
    <n v="46"/>
    <n v="4"/>
    <n v="2"/>
    <s v="Laboratory Technician"/>
    <x v="2"/>
    <s v="Married"/>
    <x v="21"/>
    <n v="25348"/>
    <n v="1"/>
    <x v="0"/>
    <x v="1"/>
    <n v="17"/>
    <n v="3"/>
    <n v="4"/>
    <n v="80"/>
    <n v="2"/>
    <n v="10"/>
    <n v="3"/>
    <n v="2"/>
    <n v="10"/>
    <n v="9"/>
    <n v="6"/>
    <n v="8"/>
  </r>
  <r>
    <x v="13"/>
    <x v="1"/>
    <x v="1"/>
    <x v="61"/>
    <x v="1"/>
    <n v="10"/>
    <n v="4"/>
    <s v="Technical Degree"/>
    <x v="0"/>
    <n v="1597"/>
    <x v="2"/>
    <x v="1"/>
    <n v="92"/>
    <n v="2"/>
    <n v="2"/>
    <s v="Healthcare Representative"/>
    <x v="2"/>
    <s v="Married"/>
    <x v="1051"/>
    <n v="15332"/>
    <n v="1"/>
    <x v="0"/>
    <x v="1"/>
    <n v="14"/>
    <n v="3"/>
    <n v="2"/>
    <n v="80"/>
    <n v="1"/>
    <n v="8"/>
    <n v="3"/>
    <n v="2"/>
    <n v="8"/>
    <n v="2"/>
    <n v="7"/>
    <n v="7"/>
  </r>
  <r>
    <x v="32"/>
    <x v="1"/>
    <x v="0"/>
    <x v="478"/>
    <x v="0"/>
    <n v="14"/>
    <n v="2"/>
    <s v="Life Sciences"/>
    <x v="0"/>
    <n v="1598"/>
    <x v="2"/>
    <x v="0"/>
    <n v="84"/>
    <n v="3"/>
    <n v="2"/>
    <s v="Sales Executive"/>
    <x v="3"/>
    <s v="Married"/>
    <x v="912"/>
    <n v="11262"/>
    <n v="1"/>
    <x v="0"/>
    <x v="1"/>
    <n v="15"/>
    <n v="3"/>
    <n v="3"/>
    <n v="80"/>
    <n v="1"/>
    <n v="5"/>
    <n v="2"/>
    <n v="3"/>
    <n v="5"/>
    <n v="4"/>
    <n v="1"/>
    <n v="2"/>
  </r>
  <r>
    <x v="23"/>
    <x v="1"/>
    <x v="0"/>
    <x v="728"/>
    <x v="1"/>
    <n v="27"/>
    <n v="3"/>
    <s v="Technical Degree"/>
    <x v="0"/>
    <n v="1599"/>
    <x v="2"/>
    <x v="1"/>
    <n v="87"/>
    <n v="4"/>
    <n v="1"/>
    <s v="Laboratory Technician"/>
    <x v="1"/>
    <s v="Divorced"/>
    <x v="204"/>
    <n v="5855"/>
    <n v="5"/>
    <x v="0"/>
    <x v="1"/>
    <n v="12"/>
    <n v="3"/>
    <n v="3"/>
    <n v="80"/>
    <n v="1"/>
    <n v="8"/>
    <n v="0"/>
    <n v="3"/>
    <n v="6"/>
    <n v="4"/>
    <n v="0"/>
    <n v="2"/>
  </r>
  <r>
    <x v="10"/>
    <x v="1"/>
    <x v="0"/>
    <x v="359"/>
    <x v="1"/>
    <n v="7"/>
    <n v="2"/>
    <s v="Life Sciences"/>
    <x v="0"/>
    <n v="1601"/>
    <x v="1"/>
    <x v="1"/>
    <n v="63"/>
    <n v="2"/>
    <n v="1"/>
    <s v="Laboratory Technician"/>
    <x v="0"/>
    <s v="Married"/>
    <x v="1052"/>
    <n v="7713"/>
    <n v="1"/>
    <x v="0"/>
    <x v="1"/>
    <n v="18"/>
    <n v="3"/>
    <n v="4"/>
    <n v="80"/>
    <n v="1"/>
    <n v="1"/>
    <n v="5"/>
    <n v="2"/>
    <n v="1"/>
    <n v="0"/>
    <n v="0"/>
    <n v="1"/>
  </r>
  <r>
    <x v="21"/>
    <x v="1"/>
    <x v="0"/>
    <x v="764"/>
    <x v="0"/>
    <n v="1"/>
    <n v="4"/>
    <s v="Life Sciences"/>
    <x v="0"/>
    <n v="1602"/>
    <x v="2"/>
    <x v="1"/>
    <n v="56"/>
    <n v="4"/>
    <n v="4"/>
    <s v="Manager"/>
    <x v="3"/>
    <s v="Single"/>
    <x v="1053"/>
    <n v="3156"/>
    <n v="1"/>
    <x v="0"/>
    <x v="1"/>
    <n v="15"/>
    <n v="3"/>
    <n v="2"/>
    <n v="80"/>
    <n v="0"/>
    <n v="27"/>
    <n v="5"/>
    <n v="1"/>
    <n v="26"/>
    <n v="0"/>
    <n v="0"/>
    <n v="12"/>
  </r>
  <r>
    <x v="14"/>
    <x v="0"/>
    <x v="0"/>
    <x v="334"/>
    <x v="1"/>
    <n v="24"/>
    <n v="3"/>
    <s v="Medical"/>
    <x v="0"/>
    <n v="1604"/>
    <x v="1"/>
    <x v="1"/>
    <n v="51"/>
    <n v="3"/>
    <n v="1"/>
    <s v="Laboratory Technician"/>
    <x v="1"/>
    <s v="Married"/>
    <x v="1054"/>
    <n v="7324"/>
    <n v="1"/>
    <x v="0"/>
    <x v="0"/>
    <n v="17"/>
    <n v="3"/>
    <n v="3"/>
    <n v="80"/>
    <n v="3"/>
    <n v="1"/>
    <n v="3"/>
    <n v="3"/>
    <n v="1"/>
    <n v="1"/>
    <n v="0"/>
    <n v="0"/>
  </r>
  <r>
    <x v="15"/>
    <x v="1"/>
    <x v="2"/>
    <x v="765"/>
    <x v="1"/>
    <n v="26"/>
    <n v="2"/>
    <s v="Other"/>
    <x v="0"/>
    <n v="1605"/>
    <x v="0"/>
    <x v="0"/>
    <n v="85"/>
    <n v="2"/>
    <n v="1"/>
    <s v="Research Scientist"/>
    <x v="2"/>
    <s v="Married"/>
    <x v="1055"/>
    <n v="10293"/>
    <n v="1"/>
    <x v="0"/>
    <x v="0"/>
    <n v="14"/>
    <n v="3"/>
    <n v="2"/>
    <n v="80"/>
    <n v="0"/>
    <n v="4"/>
    <n v="2"/>
    <n v="2"/>
    <n v="4"/>
    <n v="2"/>
    <n v="1"/>
    <n v="3"/>
  </r>
  <r>
    <x v="24"/>
    <x v="1"/>
    <x v="1"/>
    <x v="583"/>
    <x v="1"/>
    <n v="20"/>
    <n v="5"/>
    <s v="Medical"/>
    <x v="0"/>
    <n v="1606"/>
    <x v="0"/>
    <x v="1"/>
    <n v="41"/>
    <n v="3"/>
    <n v="4"/>
    <s v="Healthcare Representative"/>
    <x v="2"/>
    <s v="Married"/>
    <x v="1056"/>
    <n v="20689"/>
    <n v="2"/>
    <x v="0"/>
    <x v="0"/>
    <n v="15"/>
    <n v="3"/>
    <n v="3"/>
    <n v="80"/>
    <n v="1"/>
    <n v="32"/>
    <n v="3"/>
    <n v="3"/>
    <n v="30"/>
    <n v="8"/>
    <n v="12"/>
    <n v="13"/>
  </r>
  <r>
    <x v="5"/>
    <x v="1"/>
    <x v="0"/>
    <x v="677"/>
    <x v="1"/>
    <n v="5"/>
    <n v="4"/>
    <s v="Other"/>
    <x v="0"/>
    <n v="1607"/>
    <x v="0"/>
    <x v="0"/>
    <n v="35"/>
    <n v="4"/>
    <n v="1"/>
    <s v="Research Scientist"/>
    <x v="0"/>
    <s v="Married"/>
    <x v="1057"/>
    <n v="18783"/>
    <n v="3"/>
    <x v="0"/>
    <x v="1"/>
    <n v="17"/>
    <n v="3"/>
    <n v="4"/>
    <n v="80"/>
    <n v="2"/>
    <n v="6"/>
    <n v="3"/>
    <n v="3"/>
    <n v="3"/>
    <n v="2"/>
    <n v="0"/>
    <n v="2"/>
  </r>
  <r>
    <x v="20"/>
    <x v="1"/>
    <x v="0"/>
    <x v="766"/>
    <x v="1"/>
    <n v="7"/>
    <n v="3"/>
    <s v="Medical"/>
    <x v="0"/>
    <n v="1608"/>
    <x v="0"/>
    <x v="0"/>
    <n v="31"/>
    <n v="3"/>
    <n v="5"/>
    <s v="Research Director"/>
    <x v="0"/>
    <s v="Divorced"/>
    <x v="1058"/>
    <n v="3549"/>
    <n v="0"/>
    <x v="0"/>
    <x v="0"/>
    <n v="14"/>
    <n v="3"/>
    <n v="4"/>
    <n v="80"/>
    <n v="1"/>
    <n v="23"/>
    <n v="4"/>
    <n v="2"/>
    <n v="22"/>
    <n v="7"/>
    <n v="1"/>
    <n v="10"/>
  </r>
  <r>
    <x v="7"/>
    <x v="1"/>
    <x v="0"/>
    <x v="767"/>
    <x v="1"/>
    <n v="7"/>
    <n v="3"/>
    <s v="Medical"/>
    <x v="0"/>
    <n v="1609"/>
    <x v="0"/>
    <x v="1"/>
    <n v="48"/>
    <n v="2"/>
    <n v="1"/>
    <s v="Research Scientist"/>
    <x v="1"/>
    <s v="Married"/>
    <x v="1059"/>
    <n v="5348"/>
    <n v="1"/>
    <x v="0"/>
    <x v="1"/>
    <n v="12"/>
    <n v="3"/>
    <n v="2"/>
    <n v="80"/>
    <n v="1"/>
    <n v="6"/>
    <n v="3"/>
    <n v="2"/>
    <n v="6"/>
    <n v="4"/>
    <n v="1"/>
    <n v="1"/>
  </r>
  <r>
    <x v="28"/>
    <x v="1"/>
    <x v="0"/>
    <x v="768"/>
    <x v="1"/>
    <n v="5"/>
    <n v="5"/>
    <s v="Medical"/>
    <x v="0"/>
    <n v="1611"/>
    <x v="1"/>
    <x v="0"/>
    <n v="50"/>
    <n v="1"/>
    <n v="2"/>
    <s v="Laboratory Technician"/>
    <x v="3"/>
    <s v="Single"/>
    <x v="939"/>
    <n v="23447"/>
    <n v="1"/>
    <x v="0"/>
    <x v="0"/>
    <n v="14"/>
    <n v="3"/>
    <n v="1"/>
    <n v="80"/>
    <n v="0"/>
    <n v="10"/>
    <n v="3"/>
    <n v="3"/>
    <n v="10"/>
    <n v="7"/>
    <n v="1"/>
    <n v="4"/>
  </r>
  <r>
    <x v="28"/>
    <x v="1"/>
    <x v="2"/>
    <x v="769"/>
    <x v="0"/>
    <n v="26"/>
    <n v="3"/>
    <s v="Marketing"/>
    <x v="0"/>
    <n v="1612"/>
    <x v="3"/>
    <x v="1"/>
    <n v="52"/>
    <n v="2"/>
    <n v="2"/>
    <s v="Sales Executive"/>
    <x v="3"/>
    <s v="Married"/>
    <x v="1060"/>
    <n v="24162"/>
    <n v="1"/>
    <x v="0"/>
    <x v="1"/>
    <n v="15"/>
    <n v="3"/>
    <n v="1"/>
    <n v="80"/>
    <n v="1"/>
    <n v="10"/>
    <n v="2"/>
    <n v="3"/>
    <n v="10"/>
    <n v="7"/>
    <n v="4"/>
    <n v="5"/>
  </r>
  <r>
    <x v="12"/>
    <x v="1"/>
    <x v="1"/>
    <x v="464"/>
    <x v="0"/>
    <n v="2"/>
    <n v="4"/>
    <s v="Other"/>
    <x v="0"/>
    <n v="1613"/>
    <x v="2"/>
    <x v="1"/>
    <n v="54"/>
    <n v="3"/>
    <n v="2"/>
    <s v="Sales Executive"/>
    <x v="3"/>
    <s v="Single"/>
    <x v="1061"/>
    <n v="21602"/>
    <n v="7"/>
    <x v="0"/>
    <x v="1"/>
    <n v="13"/>
    <n v="3"/>
    <n v="4"/>
    <n v="80"/>
    <n v="0"/>
    <n v="10"/>
    <n v="3"/>
    <n v="3"/>
    <n v="5"/>
    <n v="2"/>
    <n v="0"/>
    <n v="3"/>
  </r>
  <r>
    <x v="9"/>
    <x v="1"/>
    <x v="0"/>
    <x v="298"/>
    <x v="1"/>
    <n v="12"/>
    <n v="4"/>
    <s v="Life Sciences"/>
    <x v="0"/>
    <n v="1614"/>
    <x v="1"/>
    <x v="0"/>
    <n v="76"/>
    <n v="3"/>
    <n v="2"/>
    <s v="Manufacturing Director"/>
    <x v="2"/>
    <s v="Married"/>
    <x v="1062"/>
    <n v="12421"/>
    <n v="9"/>
    <x v="0"/>
    <x v="0"/>
    <n v="12"/>
    <n v="3"/>
    <n v="2"/>
    <n v="80"/>
    <n v="2"/>
    <n v="7"/>
    <n v="2"/>
    <n v="3"/>
    <n v="3"/>
    <n v="2"/>
    <n v="1"/>
    <n v="1"/>
  </r>
  <r>
    <x v="13"/>
    <x v="1"/>
    <x v="1"/>
    <x v="381"/>
    <x v="1"/>
    <n v="10"/>
    <n v="4"/>
    <s v="Life Sciences"/>
    <x v="0"/>
    <n v="1615"/>
    <x v="1"/>
    <x v="1"/>
    <n v="42"/>
    <n v="4"/>
    <n v="2"/>
    <s v="Manufacturing Director"/>
    <x v="0"/>
    <s v="Divorced"/>
    <x v="927"/>
    <n v="17000"/>
    <n v="1"/>
    <x v="0"/>
    <x v="1"/>
    <n v="13"/>
    <n v="3"/>
    <n v="1"/>
    <n v="80"/>
    <n v="1"/>
    <n v="9"/>
    <n v="3"/>
    <n v="3"/>
    <n v="9"/>
    <n v="7"/>
    <n v="7"/>
    <n v="2"/>
  </r>
  <r>
    <x v="1"/>
    <x v="1"/>
    <x v="0"/>
    <x v="558"/>
    <x v="1"/>
    <n v="25"/>
    <n v="4"/>
    <s v="Life Sciences"/>
    <x v="0"/>
    <n v="1617"/>
    <x v="1"/>
    <x v="0"/>
    <n v="84"/>
    <n v="3"/>
    <n v="1"/>
    <s v="Laboratory Technician"/>
    <x v="3"/>
    <s v="Married"/>
    <x v="1063"/>
    <n v="22102"/>
    <n v="1"/>
    <x v="0"/>
    <x v="1"/>
    <n v="14"/>
    <n v="3"/>
    <n v="4"/>
    <n v="80"/>
    <n v="1"/>
    <n v="10"/>
    <n v="3"/>
    <n v="2"/>
    <n v="9"/>
    <n v="6"/>
    <n v="1"/>
    <n v="4"/>
  </r>
  <r>
    <x v="22"/>
    <x v="1"/>
    <x v="0"/>
    <x v="770"/>
    <x v="1"/>
    <n v="10"/>
    <n v="5"/>
    <s v="Medical"/>
    <x v="0"/>
    <n v="1618"/>
    <x v="0"/>
    <x v="1"/>
    <n v="76"/>
    <n v="3"/>
    <n v="2"/>
    <s v="Manufacturing Director"/>
    <x v="3"/>
    <s v="Married"/>
    <x v="1064"/>
    <n v="3835"/>
    <n v="2"/>
    <x v="0"/>
    <x v="1"/>
    <n v="13"/>
    <n v="3"/>
    <n v="4"/>
    <n v="80"/>
    <n v="3"/>
    <n v="10"/>
    <n v="3"/>
    <n v="3"/>
    <n v="7"/>
    <n v="7"/>
    <n v="7"/>
    <n v="7"/>
  </r>
  <r>
    <x v="4"/>
    <x v="1"/>
    <x v="0"/>
    <x v="271"/>
    <x v="1"/>
    <n v="19"/>
    <n v="3"/>
    <s v="Other"/>
    <x v="0"/>
    <n v="1619"/>
    <x v="2"/>
    <x v="1"/>
    <n v="67"/>
    <n v="2"/>
    <n v="1"/>
    <s v="Laboratory Technician"/>
    <x v="3"/>
    <s v="Divorced"/>
    <x v="1065"/>
    <n v="16290"/>
    <n v="1"/>
    <x v="0"/>
    <x v="1"/>
    <n v="11"/>
    <n v="3"/>
    <n v="1"/>
    <n v="80"/>
    <n v="2"/>
    <n v="7"/>
    <n v="3"/>
    <n v="3"/>
    <n v="7"/>
    <n v="7"/>
    <n v="0"/>
    <n v="7"/>
  </r>
  <r>
    <x v="10"/>
    <x v="1"/>
    <x v="0"/>
    <x v="627"/>
    <x v="1"/>
    <n v="18"/>
    <n v="5"/>
    <s v="Life Sciences"/>
    <x v="0"/>
    <n v="1621"/>
    <x v="0"/>
    <x v="1"/>
    <n v="48"/>
    <n v="4"/>
    <n v="2"/>
    <s v="Research Scientist"/>
    <x v="3"/>
    <s v="Married"/>
    <x v="1066"/>
    <n v="26312"/>
    <n v="1"/>
    <x v="0"/>
    <x v="1"/>
    <n v="11"/>
    <n v="3"/>
    <n v="4"/>
    <n v="80"/>
    <n v="0"/>
    <n v="16"/>
    <n v="2"/>
    <n v="3"/>
    <n v="16"/>
    <n v="15"/>
    <n v="1"/>
    <n v="10"/>
  </r>
  <r>
    <x v="14"/>
    <x v="1"/>
    <x v="0"/>
    <x v="437"/>
    <x v="1"/>
    <n v="27"/>
    <n v="3"/>
    <s v="Medical"/>
    <x v="0"/>
    <n v="1622"/>
    <x v="0"/>
    <x v="0"/>
    <n v="39"/>
    <n v="1"/>
    <n v="2"/>
    <s v="Manufacturing Director"/>
    <x v="3"/>
    <s v="Divorced"/>
    <x v="1067"/>
    <n v="20460"/>
    <n v="0"/>
    <x v="0"/>
    <x v="1"/>
    <n v="21"/>
    <n v="4"/>
    <n v="2"/>
    <n v="80"/>
    <n v="1"/>
    <n v="6"/>
    <n v="5"/>
    <n v="2"/>
    <n v="5"/>
    <n v="3"/>
    <n v="0"/>
    <n v="0"/>
  </r>
  <r>
    <x v="18"/>
    <x v="1"/>
    <x v="0"/>
    <x v="533"/>
    <x v="1"/>
    <n v="5"/>
    <n v="1"/>
    <s v="Medical"/>
    <x v="0"/>
    <n v="1623"/>
    <x v="1"/>
    <x v="1"/>
    <n v="97"/>
    <n v="3"/>
    <n v="1"/>
    <s v="Research Scientist"/>
    <x v="0"/>
    <s v="Single"/>
    <x v="1068"/>
    <n v="26009"/>
    <n v="1"/>
    <x v="0"/>
    <x v="1"/>
    <n v="18"/>
    <n v="3"/>
    <n v="3"/>
    <n v="80"/>
    <n v="0"/>
    <n v="3"/>
    <n v="2"/>
    <n v="3"/>
    <n v="2"/>
    <n v="2"/>
    <n v="2"/>
    <n v="2"/>
  </r>
  <r>
    <x v="41"/>
    <x v="0"/>
    <x v="1"/>
    <x v="314"/>
    <x v="0"/>
    <n v="3"/>
    <n v="2"/>
    <s v="Medical"/>
    <x v="0"/>
    <n v="1624"/>
    <x v="0"/>
    <x v="0"/>
    <n v="70"/>
    <n v="3"/>
    <n v="1"/>
    <s v="Sales Representative"/>
    <x v="0"/>
    <s v="Single"/>
    <x v="1069"/>
    <n v="18420"/>
    <n v="1"/>
    <x v="0"/>
    <x v="0"/>
    <n v="12"/>
    <n v="3"/>
    <n v="3"/>
    <n v="80"/>
    <n v="0"/>
    <n v="0"/>
    <n v="2"/>
    <n v="4"/>
    <n v="0"/>
    <n v="0"/>
    <n v="0"/>
    <n v="0"/>
  </r>
  <r>
    <x v="40"/>
    <x v="1"/>
    <x v="0"/>
    <x v="422"/>
    <x v="2"/>
    <n v="26"/>
    <n v="4"/>
    <s v="Life Sciences"/>
    <x v="0"/>
    <n v="1625"/>
    <x v="2"/>
    <x v="0"/>
    <n v="98"/>
    <n v="3"/>
    <n v="5"/>
    <s v="Manager"/>
    <x v="2"/>
    <s v="Married"/>
    <x v="1070"/>
    <n v="5220"/>
    <n v="3"/>
    <x v="0"/>
    <x v="1"/>
    <n v="11"/>
    <n v="3"/>
    <n v="3"/>
    <n v="80"/>
    <n v="1"/>
    <n v="27"/>
    <n v="2"/>
    <n v="3"/>
    <n v="5"/>
    <n v="2"/>
    <n v="1"/>
    <n v="0"/>
  </r>
  <r>
    <x v="22"/>
    <x v="1"/>
    <x v="0"/>
    <x v="771"/>
    <x v="1"/>
    <n v="3"/>
    <n v="2"/>
    <s v="Medical"/>
    <x v="0"/>
    <n v="1627"/>
    <x v="1"/>
    <x v="1"/>
    <n v="76"/>
    <n v="2"/>
    <n v="2"/>
    <s v="Laboratory Technician"/>
    <x v="2"/>
    <s v="Divorced"/>
    <x v="1071"/>
    <n v="10302"/>
    <n v="0"/>
    <x v="0"/>
    <x v="1"/>
    <n v="15"/>
    <n v="3"/>
    <n v="4"/>
    <n v="80"/>
    <n v="1"/>
    <n v="11"/>
    <n v="3"/>
    <n v="3"/>
    <n v="10"/>
    <n v="8"/>
    <n v="0"/>
    <n v="7"/>
  </r>
  <r>
    <x v="32"/>
    <x v="1"/>
    <x v="0"/>
    <x v="760"/>
    <x v="1"/>
    <n v="15"/>
    <n v="3"/>
    <s v="Life Sciences"/>
    <x v="0"/>
    <n v="1628"/>
    <x v="3"/>
    <x v="0"/>
    <n v="80"/>
    <n v="2"/>
    <n v="3"/>
    <s v="Manufacturing Director"/>
    <x v="2"/>
    <s v="Married"/>
    <x v="1072"/>
    <n v="25800"/>
    <n v="1"/>
    <x v="0"/>
    <x v="1"/>
    <n v="13"/>
    <n v="3"/>
    <n v="4"/>
    <n v="80"/>
    <n v="2"/>
    <n v="18"/>
    <n v="2"/>
    <n v="3"/>
    <n v="18"/>
    <n v="15"/>
    <n v="14"/>
    <n v="12"/>
  </r>
  <r>
    <x v="10"/>
    <x v="1"/>
    <x v="2"/>
    <x v="772"/>
    <x v="1"/>
    <n v="8"/>
    <n v="4"/>
    <s v="Life Sciences"/>
    <x v="0"/>
    <n v="1630"/>
    <x v="1"/>
    <x v="0"/>
    <n v="52"/>
    <n v="3"/>
    <n v="2"/>
    <s v="Healthcare Representative"/>
    <x v="2"/>
    <s v="Married"/>
    <x v="691"/>
    <n v="12250"/>
    <n v="1"/>
    <x v="0"/>
    <x v="1"/>
    <n v="12"/>
    <n v="3"/>
    <n v="4"/>
    <n v="80"/>
    <n v="1"/>
    <n v="15"/>
    <n v="5"/>
    <n v="3"/>
    <n v="14"/>
    <n v="11"/>
    <n v="2"/>
    <n v="9"/>
  </r>
  <r>
    <x v="2"/>
    <x v="1"/>
    <x v="0"/>
    <x v="773"/>
    <x v="1"/>
    <n v="19"/>
    <n v="3"/>
    <s v="Life Sciences"/>
    <x v="0"/>
    <n v="1631"/>
    <x v="1"/>
    <x v="1"/>
    <n v="85"/>
    <n v="3"/>
    <n v="2"/>
    <s v="Manufacturing Director"/>
    <x v="2"/>
    <s v="Married"/>
    <x v="1073"/>
    <n v="26493"/>
    <n v="3"/>
    <x v="0"/>
    <x v="1"/>
    <n v="17"/>
    <n v="3"/>
    <n v="1"/>
    <n v="80"/>
    <n v="3"/>
    <n v="9"/>
    <n v="2"/>
    <n v="2"/>
    <n v="4"/>
    <n v="3"/>
    <n v="0"/>
    <n v="2"/>
  </r>
  <r>
    <x v="22"/>
    <x v="1"/>
    <x v="1"/>
    <x v="774"/>
    <x v="1"/>
    <n v="4"/>
    <n v="3"/>
    <s v="Medical"/>
    <x v="0"/>
    <n v="1633"/>
    <x v="3"/>
    <x v="0"/>
    <n v="81"/>
    <n v="3"/>
    <n v="2"/>
    <s v="Manufacturing Director"/>
    <x v="2"/>
    <s v="Single"/>
    <x v="1074"/>
    <n v="3140"/>
    <n v="0"/>
    <x v="0"/>
    <x v="1"/>
    <n v="13"/>
    <n v="3"/>
    <n v="4"/>
    <n v="80"/>
    <n v="0"/>
    <n v="10"/>
    <n v="2"/>
    <n v="1"/>
    <n v="9"/>
    <n v="2"/>
    <n v="3"/>
    <n v="8"/>
  </r>
  <r>
    <x v="28"/>
    <x v="1"/>
    <x v="0"/>
    <x v="133"/>
    <x v="1"/>
    <n v="2"/>
    <n v="2"/>
    <s v="Other"/>
    <x v="0"/>
    <n v="1635"/>
    <x v="2"/>
    <x v="0"/>
    <n v="59"/>
    <n v="2"/>
    <n v="2"/>
    <s v="Manufacturing Director"/>
    <x v="0"/>
    <s v="Divorced"/>
    <x v="1075"/>
    <n v="5388"/>
    <n v="1"/>
    <x v="0"/>
    <x v="1"/>
    <n v="19"/>
    <n v="3"/>
    <n v="1"/>
    <n v="80"/>
    <n v="2"/>
    <n v="10"/>
    <n v="3"/>
    <n v="3"/>
    <n v="10"/>
    <n v="7"/>
    <n v="3"/>
    <n v="9"/>
  </r>
  <r>
    <x v="8"/>
    <x v="1"/>
    <x v="0"/>
    <x v="78"/>
    <x v="1"/>
    <n v="2"/>
    <n v="2"/>
    <s v="Medical"/>
    <x v="0"/>
    <n v="1638"/>
    <x v="2"/>
    <x v="0"/>
    <n v="54"/>
    <n v="2"/>
    <n v="3"/>
    <s v="Manufacturing Director"/>
    <x v="2"/>
    <s v="Married"/>
    <x v="751"/>
    <n v="14199"/>
    <n v="3"/>
    <x v="0"/>
    <x v="0"/>
    <n v="19"/>
    <n v="3"/>
    <n v="4"/>
    <n v="80"/>
    <n v="1"/>
    <n v="10"/>
    <n v="6"/>
    <n v="4"/>
    <n v="5"/>
    <n v="4"/>
    <n v="0"/>
    <n v="2"/>
  </r>
  <r>
    <x v="10"/>
    <x v="0"/>
    <x v="0"/>
    <x v="775"/>
    <x v="0"/>
    <n v="10"/>
    <n v="3"/>
    <s v="Medical"/>
    <x v="0"/>
    <n v="1639"/>
    <x v="2"/>
    <x v="1"/>
    <n v="55"/>
    <n v="2"/>
    <n v="3"/>
    <s v="Sales Executive"/>
    <x v="3"/>
    <s v="Married"/>
    <x v="1076"/>
    <n v="21530"/>
    <n v="9"/>
    <x v="0"/>
    <x v="1"/>
    <n v="17"/>
    <n v="3"/>
    <n v="3"/>
    <n v="80"/>
    <n v="0"/>
    <n v="15"/>
    <n v="3"/>
    <n v="3"/>
    <n v="13"/>
    <n v="12"/>
    <n v="6"/>
    <n v="0"/>
  </r>
  <r>
    <x v="2"/>
    <x v="1"/>
    <x v="0"/>
    <x v="776"/>
    <x v="1"/>
    <n v="10"/>
    <n v="3"/>
    <s v="Medical"/>
    <x v="0"/>
    <n v="1640"/>
    <x v="0"/>
    <x v="0"/>
    <n v="71"/>
    <n v="3"/>
    <n v="1"/>
    <s v="Research Scientist"/>
    <x v="1"/>
    <s v="Married"/>
    <x v="1077"/>
    <n v="9953"/>
    <n v="1"/>
    <x v="0"/>
    <x v="1"/>
    <n v="11"/>
    <n v="3"/>
    <n v="1"/>
    <n v="80"/>
    <n v="1"/>
    <n v="8"/>
    <n v="2"/>
    <n v="1"/>
    <n v="8"/>
    <n v="4"/>
    <n v="7"/>
    <n v="7"/>
  </r>
  <r>
    <x v="32"/>
    <x v="1"/>
    <x v="0"/>
    <x v="401"/>
    <x v="1"/>
    <n v="16"/>
    <n v="3"/>
    <s v="Life Sciences"/>
    <x v="0"/>
    <n v="1641"/>
    <x v="1"/>
    <x v="0"/>
    <n v="84"/>
    <n v="3"/>
    <n v="3"/>
    <s v="Manufacturing Director"/>
    <x v="0"/>
    <s v="Single"/>
    <x v="1078"/>
    <n v="19948"/>
    <n v="6"/>
    <x v="0"/>
    <x v="0"/>
    <n v="15"/>
    <n v="3"/>
    <n v="4"/>
    <n v="80"/>
    <n v="0"/>
    <n v="18"/>
    <n v="2"/>
    <n v="2"/>
    <n v="4"/>
    <n v="2"/>
    <n v="3"/>
    <n v="3"/>
  </r>
  <r>
    <x v="20"/>
    <x v="1"/>
    <x v="1"/>
    <x v="162"/>
    <x v="2"/>
    <n v="1"/>
    <n v="5"/>
    <s v="Human Resources"/>
    <x v="0"/>
    <n v="1642"/>
    <x v="3"/>
    <x v="1"/>
    <n v="37"/>
    <n v="3"/>
    <n v="2"/>
    <s v="Human Resources"/>
    <x v="0"/>
    <s v="Married"/>
    <x v="1079"/>
    <n v="10503"/>
    <n v="4"/>
    <x v="0"/>
    <x v="0"/>
    <n v="11"/>
    <n v="3"/>
    <n v="3"/>
    <n v="80"/>
    <n v="0"/>
    <n v="14"/>
    <n v="3"/>
    <n v="3"/>
    <n v="10"/>
    <n v="7"/>
    <n v="0"/>
    <n v="2"/>
  </r>
  <r>
    <x v="26"/>
    <x v="1"/>
    <x v="1"/>
    <x v="777"/>
    <x v="1"/>
    <n v="4"/>
    <n v="5"/>
    <s v="Medical"/>
    <x v="0"/>
    <n v="1644"/>
    <x v="1"/>
    <x v="1"/>
    <n v="89"/>
    <n v="2"/>
    <n v="4"/>
    <s v="Manager"/>
    <x v="0"/>
    <s v="Married"/>
    <x v="1080"/>
    <n v="5602"/>
    <n v="2"/>
    <x v="0"/>
    <x v="1"/>
    <n v="25"/>
    <n v="4"/>
    <n v="2"/>
    <n v="80"/>
    <n v="1"/>
    <n v="23"/>
    <n v="3"/>
    <n v="3"/>
    <n v="2"/>
    <n v="2"/>
    <n v="2"/>
    <n v="2"/>
  </r>
  <r>
    <x v="10"/>
    <x v="0"/>
    <x v="0"/>
    <x v="778"/>
    <x v="0"/>
    <n v="15"/>
    <n v="2"/>
    <s v="Medical"/>
    <x v="0"/>
    <n v="1645"/>
    <x v="3"/>
    <x v="1"/>
    <n v="59"/>
    <n v="1"/>
    <n v="2"/>
    <s v="Sales Executive"/>
    <x v="0"/>
    <s v="Divorced"/>
    <x v="1081"/>
    <n v="22098"/>
    <n v="6"/>
    <x v="0"/>
    <x v="0"/>
    <n v="14"/>
    <n v="3"/>
    <n v="4"/>
    <n v="80"/>
    <n v="2"/>
    <n v="7"/>
    <n v="2"/>
    <n v="2"/>
    <n v="2"/>
    <n v="2"/>
    <n v="2"/>
    <n v="2"/>
  </r>
  <r>
    <x v="17"/>
    <x v="1"/>
    <x v="1"/>
    <x v="779"/>
    <x v="1"/>
    <n v="2"/>
    <n v="1"/>
    <s v="Technical Degree"/>
    <x v="0"/>
    <n v="1646"/>
    <x v="3"/>
    <x v="0"/>
    <n v="32"/>
    <n v="3"/>
    <n v="1"/>
    <s v="Research Scientist"/>
    <x v="0"/>
    <s v="Single"/>
    <x v="841"/>
    <n v="17218"/>
    <n v="1"/>
    <x v="0"/>
    <x v="0"/>
    <n v="13"/>
    <n v="3"/>
    <n v="3"/>
    <n v="80"/>
    <n v="0"/>
    <n v="6"/>
    <n v="2"/>
    <n v="3"/>
    <n v="6"/>
    <n v="3"/>
    <n v="1"/>
    <n v="3"/>
  </r>
  <r>
    <x v="4"/>
    <x v="1"/>
    <x v="0"/>
    <x v="780"/>
    <x v="1"/>
    <n v="8"/>
    <n v="3"/>
    <s v="Medical"/>
    <x v="0"/>
    <n v="1647"/>
    <x v="0"/>
    <x v="0"/>
    <n v="86"/>
    <n v="4"/>
    <n v="1"/>
    <s v="Research Scientist"/>
    <x v="2"/>
    <s v="Married"/>
    <x v="1082"/>
    <n v="22490"/>
    <n v="7"/>
    <x v="0"/>
    <x v="1"/>
    <n v="17"/>
    <n v="3"/>
    <n v="1"/>
    <n v="80"/>
    <n v="0"/>
    <n v="5"/>
    <n v="0"/>
    <n v="3"/>
    <n v="3"/>
    <n v="2"/>
    <n v="0"/>
    <n v="2"/>
  </r>
  <r>
    <x v="4"/>
    <x v="1"/>
    <x v="1"/>
    <x v="4"/>
    <x v="1"/>
    <n v="2"/>
    <n v="3"/>
    <s v="Medical"/>
    <x v="0"/>
    <n v="1648"/>
    <x v="2"/>
    <x v="1"/>
    <n v="87"/>
    <n v="3"/>
    <n v="1"/>
    <s v="Research Scientist"/>
    <x v="0"/>
    <s v="Single"/>
    <x v="1083"/>
    <n v="6297"/>
    <n v="2"/>
    <x v="0"/>
    <x v="1"/>
    <n v="13"/>
    <n v="3"/>
    <n v="3"/>
    <n v="80"/>
    <n v="0"/>
    <n v="6"/>
    <n v="0"/>
    <n v="2"/>
    <n v="4"/>
    <n v="2"/>
    <n v="1"/>
    <n v="2"/>
  </r>
  <r>
    <x v="32"/>
    <x v="0"/>
    <x v="0"/>
    <x v="133"/>
    <x v="1"/>
    <n v="7"/>
    <n v="3"/>
    <s v="Life Sciences"/>
    <x v="0"/>
    <n v="1649"/>
    <x v="3"/>
    <x v="1"/>
    <n v="73"/>
    <n v="3"/>
    <n v="1"/>
    <s v="Laboratory Technician"/>
    <x v="3"/>
    <s v="Single"/>
    <x v="1084"/>
    <n v="3339"/>
    <n v="3"/>
    <x v="0"/>
    <x v="0"/>
    <n v="14"/>
    <n v="3"/>
    <n v="2"/>
    <n v="80"/>
    <n v="0"/>
    <n v="10"/>
    <n v="3"/>
    <n v="1"/>
    <n v="4"/>
    <n v="2"/>
    <n v="0"/>
    <n v="3"/>
  </r>
  <r>
    <x v="11"/>
    <x v="1"/>
    <x v="0"/>
    <x v="601"/>
    <x v="0"/>
    <n v="10"/>
    <n v="3"/>
    <s v="Medical"/>
    <x v="0"/>
    <n v="1650"/>
    <x v="1"/>
    <x v="1"/>
    <n v="42"/>
    <n v="2"/>
    <n v="2"/>
    <s v="Sales Executive"/>
    <x v="2"/>
    <s v="Single"/>
    <x v="1085"/>
    <n v="23413"/>
    <n v="9"/>
    <x v="0"/>
    <x v="1"/>
    <n v="11"/>
    <n v="3"/>
    <n v="3"/>
    <n v="80"/>
    <n v="0"/>
    <n v="8"/>
    <n v="2"/>
    <n v="3"/>
    <n v="5"/>
    <n v="2"/>
    <n v="1"/>
    <n v="4"/>
  </r>
  <r>
    <x v="9"/>
    <x v="1"/>
    <x v="0"/>
    <x v="774"/>
    <x v="1"/>
    <n v="5"/>
    <n v="4"/>
    <s v="Life Sciences"/>
    <x v="0"/>
    <n v="1651"/>
    <x v="0"/>
    <x v="0"/>
    <n v="42"/>
    <n v="3"/>
    <n v="3"/>
    <s v="Healthcare Representative"/>
    <x v="3"/>
    <s v="Married"/>
    <x v="1086"/>
    <n v="22792"/>
    <n v="4"/>
    <x v="0"/>
    <x v="1"/>
    <n v="12"/>
    <n v="3"/>
    <n v="3"/>
    <n v="80"/>
    <n v="2"/>
    <n v="9"/>
    <n v="6"/>
    <n v="3"/>
    <n v="3"/>
    <n v="2"/>
    <n v="0"/>
    <n v="2"/>
  </r>
  <r>
    <x v="36"/>
    <x v="1"/>
    <x v="1"/>
    <x v="781"/>
    <x v="1"/>
    <n v="2"/>
    <n v="1"/>
    <s v="Life Sciences"/>
    <x v="0"/>
    <n v="1653"/>
    <x v="2"/>
    <x v="1"/>
    <n v="77"/>
    <n v="4"/>
    <n v="2"/>
    <s v="Manufacturing Director"/>
    <x v="2"/>
    <s v="Divorced"/>
    <x v="1087"/>
    <n v="4973"/>
    <n v="1"/>
    <x v="0"/>
    <x v="1"/>
    <n v="17"/>
    <n v="3"/>
    <n v="3"/>
    <n v="80"/>
    <n v="2"/>
    <n v="7"/>
    <n v="6"/>
    <n v="3"/>
    <n v="7"/>
    <n v="7"/>
    <n v="0"/>
    <n v="7"/>
  </r>
  <r>
    <x v="22"/>
    <x v="1"/>
    <x v="0"/>
    <x v="749"/>
    <x v="1"/>
    <n v="12"/>
    <n v="3"/>
    <s v="Medical"/>
    <x v="0"/>
    <n v="1654"/>
    <x v="2"/>
    <x v="1"/>
    <n v="66"/>
    <n v="3"/>
    <n v="2"/>
    <s v="Manufacturing Director"/>
    <x v="1"/>
    <s v="Married"/>
    <x v="1088"/>
    <n v="7693"/>
    <n v="4"/>
    <x v="0"/>
    <x v="1"/>
    <n v="21"/>
    <n v="4"/>
    <n v="3"/>
    <n v="80"/>
    <n v="0"/>
    <n v="7"/>
    <n v="3"/>
    <n v="3"/>
    <n v="5"/>
    <n v="4"/>
    <n v="1"/>
    <n v="0"/>
  </r>
  <r>
    <x v="1"/>
    <x v="1"/>
    <x v="0"/>
    <x v="782"/>
    <x v="1"/>
    <n v="22"/>
    <n v="4"/>
    <s v="Other"/>
    <x v="0"/>
    <n v="1655"/>
    <x v="3"/>
    <x v="0"/>
    <n v="72"/>
    <n v="3"/>
    <n v="4"/>
    <s v="Research Director"/>
    <x v="1"/>
    <s v="Married"/>
    <x v="1089"/>
    <n v="3498"/>
    <n v="3"/>
    <x v="0"/>
    <x v="1"/>
    <n v="16"/>
    <n v="3"/>
    <n v="2"/>
    <n v="80"/>
    <n v="2"/>
    <n v="27"/>
    <n v="2"/>
    <n v="3"/>
    <n v="4"/>
    <n v="2"/>
    <n v="1"/>
    <n v="2"/>
  </r>
  <r>
    <x v="24"/>
    <x v="1"/>
    <x v="0"/>
    <x v="34"/>
    <x v="1"/>
    <n v="17"/>
    <n v="5"/>
    <s v="Life Sciences"/>
    <x v="0"/>
    <n v="1656"/>
    <x v="2"/>
    <x v="0"/>
    <n v="50"/>
    <n v="2"/>
    <n v="3"/>
    <s v="Research Director"/>
    <x v="3"/>
    <s v="Divorced"/>
    <x v="1090"/>
    <n v="21981"/>
    <n v="5"/>
    <x v="0"/>
    <x v="1"/>
    <n v="15"/>
    <n v="3"/>
    <n v="3"/>
    <n v="80"/>
    <n v="3"/>
    <n v="19"/>
    <n v="3"/>
    <n v="3"/>
    <n v="14"/>
    <n v="11"/>
    <n v="1"/>
    <n v="11"/>
  </r>
  <r>
    <x v="35"/>
    <x v="1"/>
    <x v="0"/>
    <x v="39"/>
    <x v="0"/>
    <n v="2"/>
    <n v="3"/>
    <s v="Medical"/>
    <x v="0"/>
    <n v="1657"/>
    <x v="1"/>
    <x v="0"/>
    <n v="31"/>
    <n v="3"/>
    <n v="1"/>
    <s v="Sales Representative"/>
    <x v="2"/>
    <s v="Single"/>
    <x v="1091"/>
    <n v="13251"/>
    <n v="1"/>
    <x v="0"/>
    <x v="1"/>
    <n v="19"/>
    <n v="3"/>
    <n v="1"/>
    <n v="80"/>
    <n v="0"/>
    <n v="2"/>
    <n v="3"/>
    <n v="3"/>
    <n v="2"/>
    <n v="2"/>
    <n v="2"/>
    <n v="2"/>
  </r>
  <r>
    <x v="13"/>
    <x v="1"/>
    <x v="0"/>
    <x v="306"/>
    <x v="1"/>
    <n v="3"/>
    <n v="3"/>
    <s v="Life Sciences"/>
    <x v="0"/>
    <n v="1658"/>
    <x v="2"/>
    <x v="0"/>
    <n v="66"/>
    <n v="3"/>
    <n v="2"/>
    <s v="Research Scientist"/>
    <x v="1"/>
    <s v="Divorced"/>
    <x v="1092"/>
    <n v="19332"/>
    <n v="1"/>
    <x v="0"/>
    <x v="1"/>
    <n v="12"/>
    <n v="3"/>
    <n v="3"/>
    <n v="80"/>
    <n v="1"/>
    <n v="11"/>
    <n v="2"/>
    <n v="3"/>
    <n v="11"/>
    <n v="8"/>
    <n v="7"/>
    <n v="9"/>
  </r>
  <r>
    <x v="9"/>
    <x v="1"/>
    <x v="0"/>
    <x v="783"/>
    <x v="1"/>
    <n v="7"/>
    <n v="3"/>
    <s v="Life Sciences"/>
    <x v="0"/>
    <n v="1659"/>
    <x v="3"/>
    <x v="1"/>
    <n v="77"/>
    <n v="3"/>
    <n v="1"/>
    <s v="Laboratory Technician"/>
    <x v="1"/>
    <s v="Single"/>
    <x v="1093"/>
    <n v="10950"/>
    <n v="2"/>
    <x v="0"/>
    <x v="1"/>
    <n v="11"/>
    <n v="3"/>
    <n v="3"/>
    <n v="80"/>
    <n v="0"/>
    <n v="15"/>
    <n v="4"/>
    <n v="3"/>
    <n v="4"/>
    <n v="3"/>
    <n v="1"/>
    <n v="3"/>
  </r>
  <r>
    <x v="1"/>
    <x v="1"/>
    <x v="0"/>
    <x v="159"/>
    <x v="1"/>
    <n v="6"/>
    <n v="1"/>
    <s v="Life Sciences"/>
    <x v="0"/>
    <n v="1661"/>
    <x v="1"/>
    <x v="0"/>
    <n v="41"/>
    <n v="2"/>
    <n v="4"/>
    <s v="Healthcare Representative"/>
    <x v="2"/>
    <s v="Married"/>
    <x v="1094"/>
    <n v="11652"/>
    <n v="2"/>
    <x v="0"/>
    <x v="0"/>
    <n v="19"/>
    <n v="3"/>
    <n v="2"/>
    <n v="80"/>
    <n v="1"/>
    <n v="30"/>
    <n v="3"/>
    <n v="3"/>
    <n v="15"/>
    <n v="11"/>
    <n v="2"/>
    <n v="12"/>
  </r>
  <r>
    <x v="9"/>
    <x v="1"/>
    <x v="2"/>
    <x v="178"/>
    <x v="1"/>
    <n v="1"/>
    <n v="4"/>
    <s v="Medical"/>
    <x v="0"/>
    <n v="1662"/>
    <x v="2"/>
    <x v="0"/>
    <n v="33"/>
    <n v="2"/>
    <n v="2"/>
    <s v="Manufacturing Director"/>
    <x v="2"/>
    <s v="Married"/>
    <x v="1095"/>
    <n v="15411"/>
    <n v="0"/>
    <x v="0"/>
    <x v="1"/>
    <n v="15"/>
    <n v="3"/>
    <n v="3"/>
    <n v="80"/>
    <n v="0"/>
    <n v="4"/>
    <n v="6"/>
    <n v="3"/>
    <n v="3"/>
    <n v="2"/>
    <n v="1"/>
    <n v="2"/>
  </r>
  <r>
    <x v="9"/>
    <x v="1"/>
    <x v="0"/>
    <x v="103"/>
    <x v="1"/>
    <n v="3"/>
    <n v="2"/>
    <s v="Life Sciences"/>
    <x v="0"/>
    <n v="1664"/>
    <x v="2"/>
    <x v="1"/>
    <n v="79"/>
    <n v="4"/>
    <n v="2"/>
    <s v="Healthcare Representative"/>
    <x v="3"/>
    <s v="Divorced"/>
    <x v="1096"/>
    <n v="26308"/>
    <n v="6"/>
    <x v="0"/>
    <x v="1"/>
    <n v="20"/>
    <n v="4"/>
    <n v="1"/>
    <n v="80"/>
    <n v="1"/>
    <n v="13"/>
    <n v="3"/>
    <n v="3"/>
    <n v="5"/>
    <n v="4"/>
    <n v="0"/>
    <n v="4"/>
  </r>
  <r>
    <x v="33"/>
    <x v="1"/>
    <x v="0"/>
    <x v="784"/>
    <x v="1"/>
    <n v="22"/>
    <n v="5"/>
    <s v="Medical"/>
    <x v="0"/>
    <n v="1665"/>
    <x v="0"/>
    <x v="0"/>
    <n v="91"/>
    <n v="3"/>
    <n v="4"/>
    <s v="Manager"/>
    <x v="2"/>
    <s v="Married"/>
    <x v="1097"/>
    <n v="18685"/>
    <n v="3"/>
    <x v="0"/>
    <x v="1"/>
    <n v="25"/>
    <n v="4"/>
    <n v="3"/>
    <n v="80"/>
    <n v="1"/>
    <n v="36"/>
    <n v="6"/>
    <n v="3"/>
    <n v="10"/>
    <n v="8"/>
    <n v="4"/>
    <n v="7"/>
  </r>
  <r>
    <x v="23"/>
    <x v="1"/>
    <x v="0"/>
    <x v="690"/>
    <x v="1"/>
    <n v="15"/>
    <n v="2"/>
    <s v="Life Sciences"/>
    <x v="0"/>
    <n v="1666"/>
    <x v="1"/>
    <x v="1"/>
    <n v="65"/>
    <n v="2"/>
    <n v="4"/>
    <s v="Research Director"/>
    <x v="2"/>
    <s v="Married"/>
    <x v="1098"/>
    <n v="3525"/>
    <n v="1"/>
    <x v="0"/>
    <x v="1"/>
    <n v="24"/>
    <n v="4"/>
    <n v="1"/>
    <n v="80"/>
    <n v="1"/>
    <n v="14"/>
    <n v="3"/>
    <n v="3"/>
    <n v="14"/>
    <n v="10"/>
    <n v="6"/>
    <n v="11"/>
  </r>
  <r>
    <x v="10"/>
    <x v="0"/>
    <x v="1"/>
    <x v="785"/>
    <x v="0"/>
    <n v="12"/>
    <n v="4"/>
    <s v="Other"/>
    <x v="0"/>
    <n v="1667"/>
    <x v="2"/>
    <x v="1"/>
    <n v="36"/>
    <n v="3"/>
    <n v="2"/>
    <s v="Sales Executive"/>
    <x v="0"/>
    <s v="Single"/>
    <x v="1099"/>
    <n v="10414"/>
    <n v="3"/>
    <x v="0"/>
    <x v="0"/>
    <n v="24"/>
    <n v="4"/>
    <n v="1"/>
    <n v="80"/>
    <n v="0"/>
    <n v="13"/>
    <n v="2"/>
    <n v="4"/>
    <n v="11"/>
    <n v="9"/>
    <n v="6"/>
    <n v="7"/>
  </r>
  <r>
    <x v="8"/>
    <x v="1"/>
    <x v="1"/>
    <x v="113"/>
    <x v="1"/>
    <n v="1"/>
    <n v="3"/>
    <s v="Life Sciences"/>
    <x v="0"/>
    <n v="1668"/>
    <x v="2"/>
    <x v="1"/>
    <n v="90"/>
    <n v="3"/>
    <n v="2"/>
    <s v="Research Scientist"/>
    <x v="0"/>
    <s v="Married"/>
    <x v="1100"/>
    <n v="9867"/>
    <n v="7"/>
    <x v="0"/>
    <x v="1"/>
    <n v="15"/>
    <n v="3"/>
    <n v="4"/>
    <n v="80"/>
    <n v="2"/>
    <n v="19"/>
    <n v="4"/>
    <n v="4"/>
    <n v="13"/>
    <n v="11"/>
    <n v="2"/>
    <n v="9"/>
  </r>
  <r>
    <x v="11"/>
    <x v="1"/>
    <x v="0"/>
    <x v="420"/>
    <x v="0"/>
    <n v="5"/>
    <n v="3"/>
    <s v="Medical"/>
    <x v="0"/>
    <n v="1669"/>
    <x v="3"/>
    <x v="1"/>
    <n v="43"/>
    <n v="2"/>
    <n v="2"/>
    <s v="Sales Executive"/>
    <x v="1"/>
    <s v="Divorced"/>
    <x v="1101"/>
    <n v="3356"/>
    <n v="1"/>
    <x v="0"/>
    <x v="0"/>
    <n v="13"/>
    <n v="3"/>
    <n v="2"/>
    <n v="80"/>
    <n v="1"/>
    <n v="10"/>
    <n v="3"/>
    <n v="2"/>
    <n v="10"/>
    <n v="0"/>
    <n v="0"/>
    <n v="9"/>
  </r>
  <r>
    <x v="3"/>
    <x v="1"/>
    <x v="0"/>
    <x v="786"/>
    <x v="0"/>
    <n v="2"/>
    <n v="4"/>
    <s v="Medical"/>
    <x v="0"/>
    <n v="1670"/>
    <x v="2"/>
    <x v="1"/>
    <n v="93"/>
    <n v="3"/>
    <n v="2"/>
    <s v="Sales Executive"/>
    <x v="0"/>
    <s v="Divorced"/>
    <x v="1102"/>
    <n v="3921"/>
    <n v="1"/>
    <x v="0"/>
    <x v="1"/>
    <n v="14"/>
    <n v="3"/>
    <n v="3"/>
    <n v="80"/>
    <n v="2"/>
    <n v="6"/>
    <n v="5"/>
    <n v="3"/>
    <n v="6"/>
    <n v="2"/>
    <n v="0"/>
    <n v="4"/>
  </r>
  <r>
    <x v="5"/>
    <x v="1"/>
    <x v="0"/>
    <x v="630"/>
    <x v="1"/>
    <n v="2"/>
    <n v="3"/>
    <s v="Medical"/>
    <x v="0"/>
    <n v="1671"/>
    <x v="2"/>
    <x v="1"/>
    <n v="45"/>
    <n v="3"/>
    <n v="2"/>
    <s v="Research Scientist"/>
    <x v="1"/>
    <s v="Divorced"/>
    <x v="1103"/>
    <n v="25518"/>
    <n v="0"/>
    <x v="0"/>
    <x v="1"/>
    <n v="13"/>
    <n v="3"/>
    <n v="3"/>
    <n v="80"/>
    <n v="2"/>
    <n v="10"/>
    <n v="4"/>
    <n v="2"/>
    <n v="9"/>
    <n v="5"/>
    <n v="1"/>
    <n v="6"/>
  </r>
  <r>
    <x v="12"/>
    <x v="1"/>
    <x v="0"/>
    <x v="410"/>
    <x v="0"/>
    <n v="5"/>
    <n v="4"/>
    <s v="Life Sciences"/>
    <x v="0"/>
    <n v="1673"/>
    <x v="3"/>
    <x v="0"/>
    <n v="67"/>
    <n v="3"/>
    <n v="2"/>
    <s v="Sales Executive"/>
    <x v="0"/>
    <s v="Married"/>
    <x v="1104"/>
    <n v="22589"/>
    <n v="1"/>
    <x v="0"/>
    <x v="1"/>
    <n v="11"/>
    <n v="3"/>
    <n v="1"/>
    <n v="80"/>
    <n v="2"/>
    <n v="10"/>
    <n v="2"/>
    <n v="3"/>
    <n v="10"/>
    <n v="0"/>
    <n v="0"/>
    <n v="2"/>
  </r>
  <r>
    <x v="1"/>
    <x v="1"/>
    <x v="0"/>
    <x v="40"/>
    <x v="1"/>
    <n v="16"/>
    <n v="3"/>
    <s v="Medical"/>
    <x v="0"/>
    <n v="1674"/>
    <x v="2"/>
    <x v="0"/>
    <n v="74"/>
    <n v="3"/>
    <n v="1"/>
    <s v="Laboratory Technician"/>
    <x v="3"/>
    <s v="Divorced"/>
    <x v="1105"/>
    <n v="24941"/>
    <n v="4"/>
    <x v="0"/>
    <x v="0"/>
    <n v="16"/>
    <n v="3"/>
    <n v="2"/>
    <n v="80"/>
    <n v="1"/>
    <n v="17"/>
    <n v="2"/>
    <n v="2"/>
    <n v="2"/>
    <n v="2"/>
    <n v="2"/>
    <n v="2"/>
  </r>
  <r>
    <x v="8"/>
    <x v="1"/>
    <x v="1"/>
    <x v="787"/>
    <x v="1"/>
    <n v="2"/>
    <n v="3"/>
    <s v="Medical"/>
    <x v="0"/>
    <n v="1675"/>
    <x v="2"/>
    <x v="0"/>
    <n v="42"/>
    <n v="2"/>
    <n v="1"/>
    <s v="Laboratory Technician"/>
    <x v="1"/>
    <s v="Single"/>
    <x v="1106"/>
    <n v="23826"/>
    <n v="1"/>
    <x v="0"/>
    <x v="1"/>
    <n v="22"/>
    <n v="4"/>
    <n v="2"/>
    <n v="80"/>
    <n v="0"/>
    <n v="4"/>
    <n v="3"/>
    <n v="3"/>
    <n v="4"/>
    <n v="3"/>
    <n v="3"/>
    <n v="3"/>
  </r>
  <r>
    <x v="40"/>
    <x v="1"/>
    <x v="0"/>
    <x v="70"/>
    <x v="0"/>
    <n v="2"/>
    <n v="4"/>
    <s v="Life Sciences"/>
    <x v="0"/>
    <n v="1676"/>
    <x v="0"/>
    <x v="0"/>
    <n v="47"/>
    <n v="4"/>
    <n v="4"/>
    <s v="Manager"/>
    <x v="1"/>
    <s v="Divorced"/>
    <x v="1107"/>
    <n v="21086"/>
    <n v="6"/>
    <x v="0"/>
    <x v="1"/>
    <n v="14"/>
    <n v="3"/>
    <n v="3"/>
    <n v="80"/>
    <n v="3"/>
    <n v="29"/>
    <n v="2"/>
    <n v="3"/>
    <n v="3"/>
    <n v="2"/>
    <n v="1"/>
    <n v="2"/>
  </r>
  <r>
    <x v="1"/>
    <x v="1"/>
    <x v="0"/>
    <x v="10"/>
    <x v="1"/>
    <n v="1"/>
    <n v="3"/>
    <s v="Life Sciences"/>
    <x v="0"/>
    <n v="1677"/>
    <x v="1"/>
    <x v="1"/>
    <n v="36"/>
    <n v="3"/>
    <n v="4"/>
    <s v="Manager"/>
    <x v="2"/>
    <s v="Single"/>
    <x v="1108"/>
    <n v="22384"/>
    <n v="4"/>
    <x v="0"/>
    <x v="1"/>
    <n v="14"/>
    <n v="3"/>
    <n v="1"/>
    <n v="80"/>
    <n v="0"/>
    <n v="23"/>
    <n v="2"/>
    <n v="3"/>
    <n v="8"/>
    <n v="7"/>
    <n v="0"/>
    <n v="0"/>
  </r>
  <r>
    <x v="0"/>
    <x v="1"/>
    <x v="0"/>
    <x v="568"/>
    <x v="0"/>
    <n v="23"/>
    <n v="2"/>
    <s v="Life Sciences"/>
    <x v="0"/>
    <n v="1678"/>
    <x v="2"/>
    <x v="1"/>
    <n v="80"/>
    <n v="3"/>
    <n v="3"/>
    <s v="Sales Executive"/>
    <x v="2"/>
    <s v="Single"/>
    <x v="1109"/>
    <n v="11591"/>
    <n v="3"/>
    <x v="0"/>
    <x v="0"/>
    <n v="16"/>
    <n v="3"/>
    <n v="4"/>
    <n v="80"/>
    <n v="0"/>
    <n v="21"/>
    <n v="2"/>
    <n v="3"/>
    <n v="2"/>
    <n v="0"/>
    <n v="0"/>
    <n v="2"/>
  </r>
  <r>
    <x v="35"/>
    <x v="1"/>
    <x v="0"/>
    <x v="425"/>
    <x v="0"/>
    <n v="9"/>
    <n v="1"/>
    <s v="Life Sciences"/>
    <x v="0"/>
    <n v="1680"/>
    <x v="2"/>
    <x v="1"/>
    <n v="54"/>
    <n v="3"/>
    <n v="1"/>
    <s v="Sales Representative"/>
    <x v="3"/>
    <s v="Single"/>
    <x v="1110"/>
    <n v="21082"/>
    <n v="1"/>
    <x v="0"/>
    <x v="1"/>
    <n v="11"/>
    <n v="3"/>
    <n v="1"/>
    <n v="80"/>
    <n v="0"/>
    <n v="2"/>
    <n v="3"/>
    <n v="3"/>
    <n v="2"/>
    <n v="2"/>
    <n v="0"/>
    <n v="2"/>
  </r>
  <r>
    <x v="3"/>
    <x v="1"/>
    <x v="2"/>
    <x v="89"/>
    <x v="0"/>
    <n v="16"/>
    <n v="3"/>
    <s v="Life Sciences"/>
    <x v="0"/>
    <n v="1681"/>
    <x v="1"/>
    <x v="0"/>
    <n v="36"/>
    <n v="3"/>
    <n v="2"/>
    <s v="Sales Executive"/>
    <x v="0"/>
    <s v="Divorced"/>
    <x v="1111"/>
    <n v="16130"/>
    <n v="1"/>
    <x v="0"/>
    <x v="0"/>
    <n v="25"/>
    <n v="4"/>
    <n v="3"/>
    <n v="80"/>
    <n v="1"/>
    <n v="7"/>
    <n v="2"/>
    <n v="3"/>
    <n v="6"/>
    <n v="5"/>
    <n v="1"/>
    <n v="2"/>
  </r>
  <r>
    <x v="9"/>
    <x v="1"/>
    <x v="0"/>
    <x v="757"/>
    <x v="1"/>
    <n v="26"/>
    <n v="4"/>
    <s v="Life Sciences"/>
    <x v="0"/>
    <n v="1682"/>
    <x v="3"/>
    <x v="1"/>
    <n v="80"/>
    <n v="3"/>
    <n v="2"/>
    <s v="Healthcare Representative"/>
    <x v="2"/>
    <s v="Married"/>
    <x v="1112"/>
    <n v="7419"/>
    <n v="6"/>
    <x v="0"/>
    <x v="1"/>
    <n v="14"/>
    <n v="3"/>
    <n v="2"/>
    <n v="80"/>
    <n v="2"/>
    <n v="10"/>
    <n v="2"/>
    <n v="2"/>
    <n v="3"/>
    <n v="2"/>
    <n v="0"/>
    <n v="2"/>
  </r>
  <r>
    <x v="20"/>
    <x v="1"/>
    <x v="0"/>
    <x v="125"/>
    <x v="2"/>
    <n v="1"/>
    <n v="3"/>
    <s v="Life Sciences"/>
    <x v="0"/>
    <n v="1683"/>
    <x v="1"/>
    <x v="0"/>
    <n v="44"/>
    <n v="3"/>
    <n v="1"/>
    <s v="Human Resources"/>
    <x v="0"/>
    <s v="Divorced"/>
    <x v="1113"/>
    <n v="4167"/>
    <n v="4"/>
    <x v="0"/>
    <x v="0"/>
    <n v="18"/>
    <n v="3"/>
    <n v="1"/>
    <n v="80"/>
    <n v="3"/>
    <n v="8"/>
    <n v="2"/>
    <n v="3"/>
    <n v="2"/>
    <n v="2"/>
    <n v="2"/>
    <n v="2"/>
  </r>
  <r>
    <x v="30"/>
    <x v="0"/>
    <x v="0"/>
    <x v="654"/>
    <x v="1"/>
    <n v="8"/>
    <n v="1"/>
    <s v="Medical"/>
    <x v="0"/>
    <n v="1684"/>
    <x v="2"/>
    <x v="1"/>
    <n v="93"/>
    <n v="2"/>
    <n v="1"/>
    <s v="Laboratory Technician"/>
    <x v="2"/>
    <s v="Single"/>
    <x v="1114"/>
    <n v="20586"/>
    <n v="1"/>
    <x v="0"/>
    <x v="0"/>
    <n v="11"/>
    <n v="3"/>
    <n v="1"/>
    <n v="80"/>
    <n v="0"/>
    <n v="5"/>
    <n v="2"/>
    <n v="3"/>
    <n v="5"/>
    <n v="4"/>
    <n v="1"/>
    <n v="2"/>
  </r>
  <r>
    <x v="8"/>
    <x v="1"/>
    <x v="0"/>
    <x v="393"/>
    <x v="1"/>
    <n v="4"/>
    <n v="2"/>
    <s v="Medical"/>
    <x v="0"/>
    <n v="1687"/>
    <x v="2"/>
    <x v="0"/>
    <n v="87"/>
    <n v="3"/>
    <n v="1"/>
    <s v="Laboratory Technician"/>
    <x v="2"/>
    <s v="Married"/>
    <x v="1115"/>
    <n v="26176"/>
    <n v="7"/>
    <x v="0"/>
    <x v="1"/>
    <n v="19"/>
    <n v="3"/>
    <n v="4"/>
    <n v="80"/>
    <n v="1"/>
    <n v="7"/>
    <n v="5"/>
    <n v="2"/>
    <n v="0"/>
    <n v="0"/>
    <n v="0"/>
    <n v="0"/>
  </r>
  <r>
    <x v="16"/>
    <x v="1"/>
    <x v="0"/>
    <x v="145"/>
    <x v="1"/>
    <n v="24"/>
    <n v="4"/>
    <s v="Medical"/>
    <x v="0"/>
    <n v="1689"/>
    <x v="0"/>
    <x v="1"/>
    <n v="48"/>
    <n v="4"/>
    <n v="3"/>
    <s v="Healthcare Representative"/>
    <x v="0"/>
    <s v="Married"/>
    <x v="1116"/>
    <n v="3458"/>
    <n v="3"/>
    <x v="0"/>
    <x v="1"/>
    <n v="15"/>
    <n v="3"/>
    <n v="3"/>
    <n v="80"/>
    <n v="0"/>
    <n v="11"/>
    <n v="2"/>
    <n v="3"/>
    <n v="4"/>
    <n v="3"/>
    <n v="1"/>
    <n v="2"/>
  </r>
  <r>
    <x v="26"/>
    <x v="0"/>
    <x v="1"/>
    <x v="788"/>
    <x v="0"/>
    <n v="7"/>
    <n v="2"/>
    <s v="Medical"/>
    <x v="0"/>
    <n v="1691"/>
    <x v="2"/>
    <x v="0"/>
    <n v="95"/>
    <n v="3"/>
    <n v="1"/>
    <s v="Sales Representative"/>
    <x v="2"/>
    <s v="Married"/>
    <x v="1117"/>
    <n v="11740"/>
    <n v="2"/>
    <x v="0"/>
    <x v="0"/>
    <n v="11"/>
    <n v="3"/>
    <n v="3"/>
    <n v="80"/>
    <n v="2"/>
    <n v="19"/>
    <n v="3"/>
    <n v="3"/>
    <n v="9"/>
    <n v="7"/>
    <n v="7"/>
    <n v="7"/>
  </r>
  <r>
    <x v="5"/>
    <x v="0"/>
    <x v="0"/>
    <x v="789"/>
    <x v="1"/>
    <n v="2"/>
    <n v="4"/>
    <s v="Life Sciences"/>
    <x v="0"/>
    <n v="1692"/>
    <x v="2"/>
    <x v="1"/>
    <n v="95"/>
    <n v="3"/>
    <n v="1"/>
    <s v="Laboratory Technician"/>
    <x v="1"/>
    <s v="Single"/>
    <x v="1118"/>
    <n v="24852"/>
    <n v="1"/>
    <x v="0"/>
    <x v="1"/>
    <n v="12"/>
    <n v="3"/>
    <n v="1"/>
    <n v="80"/>
    <n v="0"/>
    <n v="1"/>
    <n v="2"/>
    <n v="3"/>
    <n v="1"/>
    <n v="0"/>
    <n v="0"/>
    <n v="0"/>
  </r>
  <r>
    <x v="25"/>
    <x v="1"/>
    <x v="2"/>
    <x v="790"/>
    <x v="1"/>
    <n v="7"/>
    <n v="3"/>
    <s v="Medical"/>
    <x v="0"/>
    <n v="1693"/>
    <x v="2"/>
    <x v="1"/>
    <n v="76"/>
    <n v="3"/>
    <n v="1"/>
    <s v="Laboratory Technician"/>
    <x v="0"/>
    <s v="Single"/>
    <x v="1119"/>
    <n v="11925"/>
    <n v="1"/>
    <x v="0"/>
    <x v="1"/>
    <n v="20"/>
    <n v="4"/>
    <n v="3"/>
    <n v="80"/>
    <n v="0"/>
    <n v="7"/>
    <n v="5"/>
    <n v="3"/>
    <n v="7"/>
    <n v="7"/>
    <n v="5"/>
    <n v="7"/>
  </r>
  <r>
    <x v="27"/>
    <x v="1"/>
    <x v="0"/>
    <x v="570"/>
    <x v="1"/>
    <n v="22"/>
    <n v="3"/>
    <s v="Technical Degree"/>
    <x v="0"/>
    <n v="1694"/>
    <x v="3"/>
    <x v="1"/>
    <n v="94"/>
    <n v="2"/>
    <n v="1"/>
    <s v="Research Scientist"/>
    <x v="1"/>
    <s v="Divorced"/>
    <x v="1120"/>
    <n v="23737"/>
    <n v="5"/>
    <x v="0"/>
    <x v="1"/>
    <n v="12"/>
    <n v="3"/>
    <n v="4"/>
    <n v="80"/>
    <n v="1"/>
    <n v="8"/>
    <n v="1"/>
    <n v="3"/>
    <n v="4"/>
    <n v="2"/>
    <n v="1"/>
    <n v="2"/>
  </r>
  <r>
    <x v="13"/>
    <x v="1"/>
    <x v="0"/>
    <x v="161"/>
    <x v="1"/>
    <n v="5"/>
    <n v="2"/>
    <s v="Medical"/>
    <x v="0"/>
    <n v="1696"/>
    <x v="0"/>
    <x v="1"/>
    <n v="57"/>
    <n v="2"/>
    <n v="2"/>
    <s v="Laboratory Technician"/>
    <x v="0"/>
    <s v="Married"/>
    <x v="1121"/>
    <n v="11912"/>
    <n v="1"/>
    <x v="0"/>
    <x v="1"/>
    <n v="14"/>
    <n v="3"/>
    <n v="3"/>
    <n v="80"/>
    <n v="1"/>
    <n v="15"/>
    <n v="3"/>
    <n v="4"/>
    <n v="15"/>
    <n v="10"/>
    <n v="4"/>
    <n v="13"/>
  </r>
  <r>
    <x v="42"/>
    <x v="1"/>
    <x v="0"/>
    <x v="791"/>
    <x v="1"/>
    <n v="1"/>
    <n v="4"/>
    <s v="Medical"/>
    <x v="0"/>
    <n v="1697"/>
    <x v="1"/>
    <x v="1"/>
    <n v="92"/>
    <n v="1"/>
    <n v="3"/>
    <s v="Healthcare Representative"/>
    <x v="0"/>
    <s v="Divorced"/>
    <x v="1122"/>
    <n v="20467"/>
    <n v="3"/>
    <x v="0"/>
    <x v="1"/>
    <n v="20"/>
    <n v="4"/>
    <n v="3"/>
    <n v="80"/>
    <n v="1"/>
    <n v="19"/>
    <n v="2"/>
    <n v="4"/>
    <n v="1"/>
    <n v="0"/>
    <n v="0"/>
    <n v="0"/>
  </r>
  <r>
    <x v="3"/>
    <x v="1"/>
    <x v="0"/>
    <x v="375"/>
    <x v="1"/>
    <n v="21"/>
    <n v="3"/>
    <s v="Medical"/>
    <x v="0"/>
    <n v="1698"/>
    <x v="0"/>
    <x v="1"/>
    <n v="79"/>
    <n v="4"/>
    <n v="1"/>
    <s v="Laboratory Technician"/>
    <x v="1"/>
    <s v="Married"/>
    <x v="14"/>
    <n v="13637"/>
    <n v="1"/>
    <x v="0"/>
    <x v="1"/>
    <n v="18"/>
    <n v="3"/>
    <n v="4"/>
    <n v="80"/>
    <n v="3"/>
    <n v="14"/>
    <n v="6"/>
    <n v="3"/>
    <n v="14"/>
    <n v="11"/>
    <n v="2"/>
    <n v="13"/>
  </r>
  <r>
    <x v="2"/>
    <x v="1"/>
    <x v="1"/>
    <x v="503"/>
    <x v="0"/>
    <n v="1"/>
    <n v="4"/>
    <s v="Medical"/>
    <x v="0"/>
    <n v="1700"/>
    <x v="1"/>
    <x v="1"/>
    <n v="31"/>
    <n v="1"/>
    <n v="2"/>
    <s v="Sales Executive"/>
    <x v="0"/>
    <s v="Divorced"/>
    <x v="1123"/>
    <n v="7677"/>
    <n v="1"/>
    <x v="0"/>
    <x v="1"/>
    <n v="14"/>
    <n v="3"/>
    <n v="3"/>
    <n v="80"/>
    <n v="2"/>
    <n v="6"/>
    <n v="2"/>
    <n v="2"/>
    <n v="6"/>
    <n v="3"/>
    <n v="1"/>
    <n v="3"/>
  </r>
  <r>
    <x v="13"/>
    <x v="1"/>
    <x v="0"/>
    <x v="792"/>
    <x v="1"/>
    <n v="19"/>
    <n v="3"/>
    <s v="Life Sciences"/>
    <x v="0"/>
    <n v="1701"/>
    <x v="0"/>
    <x v="0"/>
    <n v="35"/>
    <n v="2"/>
    <n v="1"/>
    <s v="Research Scientist"/>
    <x v="0"/>
    <s v="Married"/>
    <x v="1124"/>
    <n v="20338"/>
    <n v="1"/>
    <x v="0"/>
    <x v="1"/>
    <n v="12"/>
    <n v="3"/>
    <n v="2"/>
    <n v="80"/>
    <n v="0"/>
    <n v="10"/>
    <n v="3"/>
    <n v="3"/>
    <n v="10"/>
    <n v="9"/>
    <n v="8"/>
    <n v="7"/>
  </r>
  <r>
    <x v="30"/>
    <x v="0"/>
    <x v="0"/>
    <x v="60"/>
    <x v="0"/>
    <n v="7"/>
    <n v="3"/>
    <s v="Life Sciences"/>
    <x v="0"/>
    <n v="1702"/>
    <x v="1"/>
    <x v="1"/>
    <n v="99"/>
    <n v="3"/>
    <n v="1"/>
    <s v="Sales Representative"/>
    <x v="0"/>
    <s v="Divorced"/>
    <x v="1125"/>
    <n v="25103"/>
    <n v="1"/>
    <x v="0"/>
    <x v="0"/>
    <n v="21"/>
    <n v="4"/>
    <n v="2"/>
    <n v="80"/>
    <n v="1"/>
    <n v="3"/>
    <n v="2"/>
    <n v="3"/>
    <n v="3"/>
    <n v="2"/>
    <n v="0"/>
    <n v="2"/>
  </r>
  <r>
    <x v="20"/>
    <x v="1"/>
    <x v="0"/>
    <x v="324"/>
    <x v="1"/>
    <n v="2"/>
    <n v="3"/>
    <s v="Life Sciences"/>
    <x v="0"/>
    <n v="1703"/>
    <x v="1"/>
    <x v="0"/>
    <n v="96"/>
    <n v="4"/>
    <n v="3"/>
    <s v="Healthcare Representative"/>
    <x v="0"/>
    <s v="Married"/>
    <x v="1126"/>
    <n v="14810"/>
    <n v="1"/>
    <x v="0"/>
    <x v="0"/>
    <n v="19"/>
    <n v="3"/>
    <n v="2"/>
    <n v="80"/>
    <n v="1"/>
    <n v="9"/>
    <n v="2"/>
    <n v="3"/>
    <n v="8"/>
    <n v="7"/>
    <n v="6"/>
    <n v="7"/>
  </r>
  <r>
    <x v="10"/>
    <x v="1"/>
    <x v="1"/>
    <x v="793"/>
    <x v="1"/>
    <n v="2"/>
    <n v="4"/>
    <s v="Medical"/>
    <x v="0"/>
    <n v="1704"/>
    <x v="3"/>
    <x v="1"/>
    <n v="79"/>
    <n v="2"/>
    <n v="1"/>
    <s v="Research Scientist"/>
    <x v="0"/>
    <s v="Single"/>
    <x v="1127"/>
    <n v="13970"/>
    <n v="0"/>
    <x v="0"/>
    <x v="0"/>
    <n v="14"/>
    <n v="3"/>
    <n v="3"/>
    <n v="80"/>
    <n v="0"/>
    <n v="6"/>
    <n v="2"/>
    <n v="4"/>
    <n v="5"/>
    <n v="4"/>
    <n v="1"/>
    <n v="4"/>
  </r>
  <r>
    <x v="23"/>
    <x v="1"/>
    <x v="0"/>
    <x v="439"/>
    <x v="0"/>
    <n v="2"/>
    <n v="3"/>
    <s v="Medical"/>
    <x v="0"/>
    <n v="1706"/>
    <x v="2"/>
    <x v="1"/>
    <n v="73"/>
    <n v="3"/>
    <n v="2"/>
    <s v="Sales Executive"/>
    <x v="0"/>
    <s v="Married"/>
    <x v="1128"/>
    <n v="6069"/>
    <n v="1"/>
    <x v="0"/>
    <x v="0"/>
    <n v="17"/>
    <n v="3"/>
    <n v="1"/>
    <n v="80"/>
    <n v="1"/>
    <n v="10"/>
    <n v="3"/>
    <n v="3"/>
    <n v="10"/>
    <n v="9"/>
    <n v="8"/>
    <n v="8"/>
  </r>
  <r>
    <x v="17"/>
    <x v="1"/>
    <x v="0"/>
    <x v="794"/>
    <x v="1"/>
    <n v="9"/>
    <n v="3"/>
    <s v="Medical"/>
    <x v="0"/>
    <n v="1707"/>
    <x v="1"/>
    <x v="1"/>
    <n v="62"/>
    <n v="4"/>
    <n v="1"/>
    <s v="Research Scientist"/>
    <x v="2"/>
    <s v="Married"/>
    <x v="1129"/>
    <n v="17616"/>
    <n v="1"/>
    <x v="0"/>
    <x v="1"/>
    <n v="16"/>
    <n v="3"/>
    <n v="4"/>
    <n v="80"/>
    <n v="1"/>
    <n v="5"/>
    <n v="1"/>
    <n v="3"/>
    <n v="5"/>
    <n v="3"/>
    <n v="0"/>
    <n v="4"/>
  </r>
  <r>
    <x v="0"/>
    <x v="1"/>
    <x v="0"/>
    <x v="795"/>
    <x v="0"/>
    <n v="6"/>
    <n v="3"/>
    <s v="Marketing"/>
    <x v="0"/>
    <n v="1708"/>
    <x v="2"/>
    <x v="1"/>
    <n v="35"/>
    <n v="3"/>
    <n v="3"/>
    <s v="Sales Executive"/>
    <x v="2"/>
    <s v="Single"/>
    <x v="1130"/>
    <n v="15869"/>
    <n v="1"/>
    <x v="0"/>
    <x v="1"/>
    <n v="12"/>
    <n v="3"/>
    <n v="2"/>
    <n v="80"/>
    <n v="0"/>
    <n v="10"/>
    <n v="3"/>
    <n v="3"/>
    <n v="10"/>
    <n v="8"/>
    <n v="8"/>
    <n v="7"/>
  </r>
  <r>
    <x v="11"/>
    <x v="1"/>
    <x v="0"/>
    <x v="72"/>
    <x v="1"/>
    <n v="9"/>
    <n v="4"/>
    <s v="Medical"/>
    <x v="0"/>
    <n v="1709"/>
    <x v="2"/>
    <x v="0"/>
    <n v="43"/>
    <n v="3"/>
    <n v="1"/>
    <s v="Laboratory Technician"/>
    <x v="2"/>
    <s v="Married"/>
    <x v="1131"/>
    <n v="25412"/>
    <n v="9"/>
    <x v="0"/>
    <x v="1"/>
    <n v="17"/>
    <n v="3"/>
    <n v="3"/>
    <n v="80"/>
    <n v="1"/>
    <n v="9"/>
    <n v="2"/>
    <n v="3"/>
    <n v="5"/>
    <n v="3"/>
    <n v="1"/>
    <n v="2"/>
  </r>
  <r>
    <x v="9"/>
    <x v="1"/>
    <x v="0"/>
    <x v="89"/>
    <x v="0"/>
    <n v="2"/>
    <n v="4"/>
    <s v="Life Sciences"/>
    <x v="0"/>
    <n v="1710"/>
    <x v="1"/>
    <x v="0"/>
    <n v="51"/>
    <n v="3"/>
    <n v="2"/>
    <s v="Sales Representative"/>
    <x v="0"/>
    <s v="Single"/>
    <x v="1132"/>
    <n v="7439"/>
    <n v="3"/>
    <x v="0"/>
    <x v="1"/>
    <n v="15"/>
    <n v="3"/>
    <n v="3"/>
    <n v="80"/>
    <n v="0"/>
    <n v="17"/>
    <n v="2"/>
    <n v="2"/>
    <n v="13"/>
    <n v="7"/>
    <n v="6"/>
    <n v="7"/>
  </r>
  <r>
    <x v="28"/>
    <x v="1"/>
    <x v="2"/>
    <x v="796"/>
    <x v="1"/>
    <n v="1"/>
    <n v="1"/>
    <s v="Life Sciences"/>
    <x v="0"/>
    <n v="1712"/>
    <x v="1"/>
    <x v="1"/>
    <n v="74"/>
    <n v="2"/>
    <n v="3"/>
    <s v="Healthcare Representative"/>
    <x v="2"/>
    <s v="Married"/>
    <x v="1133"/>
    <n v="3395"/>
    <n v="3"/>
    <x v="0"/>
    <x v="1"/>
    <n v="23"/>
    <n v="4"/>
    <n v="4"/>
    <n v="80"/>
    <n v="1"/>
    <n v="25"/>
    <n v="3"/>
    <n v="2"/>
    <n v="23"/>
    <n v="15"/>
    <n v="14"/>
    <n v="4"/>
  </r>
  <r>
    <x v="17"/>
    <x v="0"/>
    <x v="0"/>
    <x v="105"/>
    <x v="2"/>
    <n v="22"/>
    <n v="1"/>
    <s v="Human Resources"/>
    <x v="0"/>
    <n v="1714"/>
    <x v="2"/>
    <x v="1"/>
    <n v="58"/>
    <n v="1"/>
    <n v="1"/>
    <s v="Human Resources"/>
    <x v="2"/>
    <s v="Married"/>
    <x v="1134"/>
    <n v="11585"/>
    <n v="1"/>
    <x v="0"/>
    <x v="1"/>
    <n v="11"/>
    <n v="3"/>
    <n v="3"/>
    <n v="80"/>
    <n v="1"/>
    <n v="1"/>
    <n v="2"/>
    <n v="3"/>
    <n v="1"/>
    <n v="0"/>
    <n v="0"/>
    <n v="0"/>
  </r>
  <r>
    <x v="40"/>
    <x v="0"/>
    <x v="1"/>
    <x v="93"/>
    <x v="0"/>
    <n v="9"/>
    <n v="3"/>
    <s v="Life Sciences"/>
    <x v="0"/>
    <n v="1716"/>
    <x v="1"/>
    <x v="1"/>
    <n v="82"/>
    <n v="1"/>
    <n v="4"/>
    <s v="Sales Executive"/>
    <x v="2"/>
    <s v="Married"/>
    <x v="1135"/>
    <n v="24164"/>
    <n v="7"/>
    <x v="0"/>
    <x v="1"/>
    <n v="11"/>
    <n v="3"/>
    <n v="3"/>
    <n v="80"/>
    <n v="0"/>
    <n v="25"/>
    <n v="3"/>
    <n v="1"/>
    <n v="23"/>
    <n v="5"/>
    <n v="14"/>
    <n v="10"/>
  </r>
  <r>
    <x v="25"/>
    <x v="1"/>
    <x v="0"/>
    <x v="279"/>
    <x v="1"/>
    <n v="17"/>
    <n v="4"/>
    <s v="Medical"/>
    <x v="0"/>
    <n v="1718"/>
    <x v="2"/>
    <x v="1"/>
    <n v="62"/>
    <n v="1"/>
    <n v="1"/>
    <s v="Laboratory Technician"/>
    <x v="2"/>
    <s v="Married"/>
    <x v="1136"/>
    <n v="6217"/>
    <n v="1"/>
    <x v="0"/>
    <x v="1"/>
    <n v="15"/>
    <n v="3"/>
    <n v="3"/>
    <n v="80"/>
    <n v="3"/>
    <n v="3"/>
    <n v="3"/>
    <n v="4"/>
    <n v="3"/>
    <n v="2"/>
    <n v="0"/>
    <n v="2"/>
  </r>
  <r>
    <x v="28"/>
    <x v="1"/>
    <x v="0"/>
    <x v="5"/>
    <x v="1"/>
    <n v="28"/>
    <n v="2"/>
    <s v="Technical Degree"/>
    <x v="0"/>
    <n v="1719"/>
    <x v="2"/>
    <x v="0"/>
    <n v="48"/>
    <n v="2"/>
    <n v="4"/>
    <s v="Research Director"/>
    <x v="1"/>
    <s v="Single"/>
    <x v="1137"/>
    <n v="17119"/>
    <n v="1"/>
    <x v="0"/>
    <x v="1"/>
    <n v="11"/>
    <n v="3"/>
    <n v="3"/>
    <n v="80"/>
    <n v="0"/>
    <n v="21"/>
    <n v="2"/>
    <n v="3"/>
    <n v="21"/>
    <n v="6"/>
    <n v="8"/>
    <n v="6"/>
  </r>
  <r>
    <x v="5"/>
    <x v="1"/>
    <x v="1"/>
    <x v="797"/>
    <x v="1"/>
    <n v="10"/>
    <n v="3"/>
    <s v="Life Sciences"/>
    <x v="0"/>
    <n v="1720"/>
    <x v="3"/>
    <x v="1"/>
    <n v="56"/>
    <n v="3"/>
    <n v="1"/>
    <s v="Research Scientist"/>
    <x v="2"/>
    <s v="Married"/>
    <x v="1138"/>
    <n v="17360"/>
    <n v="6"/>
    <x v="0"/>
    <x v="1"/>
    <n v="13"/>
    <n v="3"/>
    <n v="1"/>
    <n v="80"/>
    <n v="1"/>
    <n v="10"/>
    <n v="3"/>
    <n v="2"/>
    <n v="5"/>
    <n v="2"/>
    <n v="1"/>
    <n v="3"/>
  </r>
  <r>
    <x v="12"/>
    <x v="1"/>
    <x v="0"/>
    <x v="798"/>
    <x v="1"/>
    <n v="2"/>
    <n v="4"/>
    <s v="Life Sciences"/>
    <x v="0"/>
    <n v="1721"/>
    <x v="0"/>
    <x v="1"/>
    <n v="69"/>
    <n v="3"/>
    <n v="1"/>
    <s v="Laboratory Technician"/>
    <x v="2"/>
    <s v="Married"/>
    <x v="1139"/>
    <n v="18103"/>
    <n v="1"/>
    <x v="0"/>
    <x v="1"/>
    <n v="14"/>
    <n v="3"/>
    <n v="4"/>
    <n v="80"/>
    <n v="1"/>
    <n v="6"/>
    <n v="2"/>
    <n v="4"/>
    <n v="5"/>
    <n v="2"/>
    <n v="0"/>
    <n v="3"/>
  </r>
  <r>
    <x v="0"/>
    <x v="1"/>
    <x v="2"/>
    <x v="799"/>
    <x v="2"/>
    <n v="4"/>
    <n v="3"/>
    <s v="Human Resources"/>
    <x v="0"/>
    <n v="1722"/>
    <x v="1"/>
    <x v="1"/>
    <n v="60"/>
    <n v="1"/>
    <n v="2"/>
    <s v="Human Resources"/>
    <x v="1"/>
    <s v="Married"/>
    <x v="1140"/>
    <n v="20794"/>
    <n v="6"/>
    <x v="0"/>
    <x v="1"/>
    <n v="19"/>
    <n v="3"/>
    <n v="2"/>
    <n v="80"/>
    <n v="1"/>
    <n v="10"/>
    <n v="4"/>
    <n v="3"/>
    <n v="3"/>
    <n v="2"/>
    <n v="1"/>
    <n v="2"/>
  </r>
  <r>
    <x v="32"/>
    <x v="1"/>
    <x v="0"/>
    <x v="800"/>
    <x v="1"/>
    <n v="8"/>
    <n v="2"/>
    <s v="Life Sciences"/>
    <x v="0"/>
    <n v="1724"/>
    <x v="0"/>
    <x v="0"/>
    <n v="92"/>
    <n v="3"/>
    <n v="2"/>
    <s v="Manufacturing Director"/>
    <x v="3"/>
    <s v="Married"/>
    <x v="1141"/>
    <n v="5041"/>
    <n v="2"/>
    <x v="0"/>
    <x v="0"/>
    <n v="16"/>
    <n v="3"/>
    <n v="2"/>
    <n v="80"/>
    <n v="1"/>
    <n v="18"/>
    <n v="3"/>
    <n v="3"/>
    <n v="1"/>
    <n v="0"/>
    <n v="0"/>
    <n v="0"/>
  </r>
  <r>
    <x v="17"/>
    <x v="1"/>
    <x v="0"/>
    <x v="263"/>
    <x v="1"/>
    <n v="29"/>
    <n v="1"/>
    <s v="Medical"/>
    <x v="0"/>
    <n v="1725"/>
    <x v="0"/>
    <x v="1"/>
    <n v="91"/>
    <n v="3"/>
    <n v="1"/>
    <s v="Laboratory Technician"/>
    <x v="3"/>
    <s v="Divorced"/>
    <x v="1142"/>
    <n v="3622"/>
    <n v="1"/>
    <x v="0"/>
    <x v="1"/>
    <n v="13"/>
    <n v="3"/>
    <n v="2"/>
    <n v="80"/>
    <n v="3"/>
    <n v="6"/>
    <n v="2"/>
    <n v="4"/>
    <n v="6"/>
    <n v="2"/>
    <n v="1"/>
    <n v="2"/>
  </r>
  <r>
    <x v="21"/>
    <x v="1"/>
    <x v="0"/>
    <x v="801"/>
    <x v="1"/>
    <n v="13"/>
    <n v="4"/>
    <s v="Life Sciences"/>
    <x v="0"/>
    <n v="1727"/>
    <x v="1"/>
    <x v="1"/>
    <n v="34"/>
    <n v="3"/>
    <n v="2"/>
    <s v="Healthcare Representative"/>
    <x v="1"/>
    <s v="Single"/>
    <x v="622"/>
    <n v="9697"/>
    <n v="6"/>
    <x v="0"/>
    <x v="1"/>
    <n v="14"/>
    <n v="3"/>
    <n v="4"/>
    <n v="80"/>
    <n v="0"/>
    <n v="19"/>
    <n v="3"/>
    <n v="3"/>
    <n v="10"/>
    <n v="7"/>
    <n v="0"/>
    <n v="9"/>
  </r>
  <r>
    <x v="10"/>
    <x v="1"/>
    <x v="0"/>
    <x v="761"/>
    <x v="1"/>
    <n v="27"/>
    <n v="4"/>
    <s v="Life Sciences"/>
    <x v="0"/>
    <n v="1728"/>
    <x v="2"/>
    <x v="1"/>
    <n v="49"/>
    <n v="3"/>
    <n v="2"/>
    <s v="Manufacturing Director"/>
    <x v="2"/>
    <s v="Married"/>
    <x v="1143"/>
    <n v="5151"/>
    <n v="2"/>
    <x v="0"/>
    <x v="1"/>
    <n v="16"/>
    <n v="3"/>
    <n v="2"/>
    <n v="80"/>
    <n v="1"/>
    <n v="17"/>
    <n v="3"/>
    <n v="3"/>
    <n v="7"/>
    <n v="7"/>
    <n v="0"/>
    <n v="7"/>
  </r>
  <r>
    <x v="7"/>
    <x v="1"/>
    <x v="0"/>
    <x v="611"/>
    <x v="1"/>
    <n v="16"/>
    <n v="1"/>
    <s v="Life Sciences"/>
    <x v="0"/>
    <n v="1729"/>
    <x v="0"/>
    <x v="1"/>
    <n v="33"/>
    <n v="3"/>
    <n v="1"/>
    <s v="Research Scientist"/>
    <x v="0"/>
    <s v="Married"/>
    <x v="1144"/>
    <n v="3811"/>
    <n v="1"/>
    <x v="0"/>
    <x v="1"/>
    <n v="12"/>
    <n v="3"/>
    <n v="2"/>
    <n v="80"/>
    <n v="1"/>
    <n v="10"/>
    <n v="2"/>
    <n v="2"/>
    <n v="10"/>
    <n v="0"/>
    <n v="0"/>
    <n v="8"/>
  </r>
  <r>
    <x v="40"/>
    <x v="1"/>
    <x v="2"/>
    <x v="802"/>
    <x v="0"/>
    <n v="2"/>
    <n v="4"/>
    <s v="Marketing"/>
    <x v="0"/>
    <n v="1731"/>
    <x v="1"/>
    <x v="1"/>
    <n v="87"/>
    <n v="3"/>
    <n v="2"/>
    <s v="Sales Executive"/>
    <x v="1"/>
    <s v="Married"/>
    <x v="1145"/>
    <n v="3536"/>
    <n v="7"/>
    <x v="0"/>
    <x v="1"/>
    <n v="11"/>
    <n v="3"/>
    <n v="4"/>
    <n v="80"/>
    <n v="1"/>
    <n v="4"/>
    <n v="3"/>
    <n v="1"/>
    <n v="1"/>
    <n v="0"/>
    <n v="0"/>
    <n v="0"/>
  </r>
  <r>
    <x v="21"/>
    <x v="1"/>
    <x v="0"/>
    <x v="368"/>
    <x v="0"/>
    <n v="2"/>
    <n v="3"/>
    <s v="Life Sciences"/>
    <x v="0"/>
    <n v="1732"/>
    <x v="1"/>
    <x v="1"/>
    <n v="74"/>
    <n v="3"/>
    <n v="3"/>
    <s v="Sales Executive"/>
    <x v="0"/>
    <s v="Divorced"/>
    <x v="1146"/>
    <n v="5596"/>
    <n v="4"/>
    <x v="0"/>
    <x v="0"/>
    <n v="12"/>
    <n v="3"/>
    <n v="2"/>
    <n v="80"/>
    <n v="1"/>
    <n v="13"/>
    <n v="5"/>
    <n v="2"/>
    <n v="10"/>
    <n v="6"/>
    <n v="0"/>
    <n v="3"/>
  </r>
  <r>
    <x v="9"/>
    <x v="0"/>
    <x v="0"/>
    <x v="108"/>
    <x v="0"/>
    <n v="13"/>
    <n v="5"/>
    <s v="Marketing"/>
    <x v="0"/>
    <n v="1733"/>
    <x v="0"/>
    <x v="1"/>
    <n v="96"/>
    <n v="2"/>
    <n v="2"/>
    <s v="Sales Executive"/>
    <x v="3"/>
    <s v="Divorced"/>
    <x v="1147"/>
    <n v="8658"/>
    <n v="5"/>
    <x v="0"/>
    <x v="0"/>
    <n v="13"/>
    <n v="3"/>
    <n v="2"/>
    <n v="80"/>
    <n v="3"/>
    <n v="16"/>
    <n v="3"/>
    <n v="3"/>
    <n v="2"/>
    <n v="2"/>
    <n v="2"/>
    <n v="2"/>
  </r>
  <r>
    <x v="5"/>
    <x v="0"/>
    <x v="0"/>
    <x v="803"/>
    <x v="0"/>
    <n v="1"/>
    <n v="2"/>
    <s v="Life Sciences"/>
    <x v="0"/>
    <n v="1734"/>
    <x v="3"/>
    <x v="1"/>
    <n v="34"/>
    <n v="1"/>
    <n v="2"/>
    <s v="Sales Executive"/>
    <x v="1"/>
    <s v="Single"/>
    <x v="1148"/>
    <n v="12147"/>
    <n v="6"/>
    <x v="0"/>
    <x v="1"/>
    <n v="15"/>
    <n v="3"/>
    <n v="2"/>
    <n v="80"/>
    <n v="0"/>
    <n v="10"/>
    <n v="2"/>
    <n v="3"/>
    <n v="0"/>
    <n v="0"/>
    <n v="0"/>
    <n v="0"/>
  </r>
  <r>
    <x v="30"/>
    <x v="1"/>
    <x v="0"/>
    <x v="416"/>
    <x v="1"/>
    <n v="4"/>
    <n v="1"/>
    <s v="Medical"/>
    <x v="0"/>
    <n v="1735"/>
    <x v="1"/>
    <x v="0"/>
    <n v="51"/>
    <n v="3"/>
    <n v="1"/>
    <s v="Laboratory Technician"/>
    <x v="1"/>
    <s v="Single"/>
    <x v="1149"/>
    <n v="12862"/>
    <n v="1"/>
    <x v="0"/>
    <x v="1"/>
    <n v="13"/>
    <n v="3"/>
    <n v="3"/>
    <n v="80"/>
    <n v="0"/>
    <n v="3"/>
    <n v="3"/>
    <n v="1"/>
    <n v="3"/>
    <n v="2"/>
    <n v="1"/>
    <n v="2"/>
  </r>
  <r>
    <x v="12"/>
    <x v="1"/>
    <x v="1"/>
    <x v="374"/>
    <x v="1"/>
    <n v="24"/>
    <n v="1"/>
    <s v="Technical Degree"/>
    <x v="0"/>
    <n v="1736"/>
    <x v="2"/>
    <x v="0"/>
    <n v="30"/>
    <n v="3"/>
    <n v="2"/>
    <s v="Manufacturing Director"/>
    <x v="0"/>
    <s v="Single"/>
    <x v="319"/>
    <n v="6670"/>
    <n v="2"/>
    <x v="0"/>
    <x v="1"/>
    <n v="20"/>
    <n v="4"/>
    <n v="4"/>
    <n v="80"/>
    <n v="0"/>
    <n v="9"/>
    <n v="3"/>
    <n v="2"/>
    <n v="5"/>
    <n v="4"/>
    <n v="1"/>
    <n v="4"/>
  </r>
  <r>
    <x v="22"/>
    <x v="1"/>
    <x v="2"/>
    <x v="804"/>
    <x v="1"/>
    <n v="1"/>
    <n v="3"/>
    <s v="Life Sciences"/>
    <x v="0"/>
    <n v="1737"/>
    <x v="2"/>
    <x v="1"/>
    <n v="77"/>
    <n v="3"/>
    <n v="2"/>
    <s v="Laboratory Technician"/>
    <x v="0"/>
    <s v="Married"/>
    <x v="1150"/>
    <n v="8989"/>
    <n v="1"/>
    <x v="0"/>
    <x v="0"/>
    <n v="15"/>
    <n v="3"/>
    <n v="4"/>
    <n v="80"/>
    <n v="1"/>
    <n v="9"/>
    <n v="2"/>
    <n v="3"/>
    <n v="9"/>
    <n v="8"/>
    <n v="5"/>
    <n v="8"/>
  </r>
  <r>
    <x v="5"/>
    <x v="1"/>
    <x v="0"/>
    <x v="19"/>
    <x v="0"/>
    <n v="19"/>
    <n v="3"/>
    <s v="Life Sciences"/>
    <x v="0"/>
    <n v="1739"/>
    <x v="2"/>
    <x v="1"/>
    <n v="80"/>
    <n v="1"/>
    <n v="3"/>
    <s v="Sales Executive"/>
    <x v="2"/>
    <s v="Married"/>
    <x v="1151"/>
    <n v="3840"/>
    <n v="3"/>
    <x v="0"/>
    <x v="1"/>
    <n v="13"/>
    <n v="3"/>
    <n v="3"/>
    <n v="80"/>
    <n v="1"/>
    <n v="10"/>
    <n v="2"/>
    <n v="1"/>
    <n v="4"/>
    <n v="3"/>
    <n v="0"/>
    <n v="2"/>
  </r>
  <r>
    <x v="32"/>
    <x v="1"/>
    <x v="0"/>
    <x v="805"/>
    <x v="0"/>
    <n v="7"/>
    <n v="4"/>
    <s v="Medical"/>
    <x v="0"/>
    <n v="1740"/>
    <x v="0"/>
    <x v="1"/>
    <n v="88"/>
    <n v="3"/>
    <n v="5"/>
    <s v="Manager"/>
    <x v="1"/>
    <s v="Single"/>
    <x v="1152"/>
    <n v="4349"/>
    <n v="1"/>
    <x v="0"/>
    <x v="1"/>
    <n v="14"/>
    <n v="3"/>
    <n v="2"/>
    <n v="80"/>
    <n v="0"/>
    <n v="21"/>
    <n v="3"/>
    <n v="2"/>
    <n v="21"/>
    <n v="8"/>
    <n v="12"/>
    <n v="8"/>
  </r>
  <r>
    <x v="28"/>
    <x v="1"/>
    <x v="0"/>
    <x v="806"/>
    <x v="2"/>
    <n v="4"/>
    <n v="3"/>
    <s v="Life Sciences"/>
    <x v="0"/>
    <n v="1744"/>
    <x v="1"/>
    <x v="0"/>
    <n v="56"/>
    <n v="1"/>
    <n v="3"/>
    <s v="Human Resources"/>
    <x v="2"/>
    <s v="Married"/>
    <x v="1153"/>
    <n v="6595"/>
    <n v="4"/>
    <x v="0"/>
    <x v="1"/>
    <n v="21"/>
    <n v="4"/>
    <n v="3"/>
    <n v="80"/>
    <n v="2"/>
    <n v="9"/>
    <n v="2"/>
    <n v="4"/>
    <n v="5"/>
    <n v="0"/>
    <n v="0"/>
    <n v="3"/>
  </r>
  <r>
    <x v="7"/>
    <x v="1"/>
    <x v="1"/>
    <x v="118"/>
    <x v="1"/>
    <n v="2"/>
    <n v="4"/>
    <s v="Technical Degree"/>
    <x v="0"/>
    <n v="1745"/>
    <x v="2"/>
    <x v="0"/>
    <n v="78"/>
    <n v="2"/>
    <n v="1"/>
    <s v="Research Scientist"/>
    <x v="3"/>
    <s v="Single"/>
    <x v="775"/>
    <n v="26427"/>
    <n v="0"/>
    <x v="0"/>
    <x v="1"/>
    <n v="16"/>
    <n v="3"/>
    <n v="4"/>
    <n v="80"/>
    <n v="0"/>
    <n v="10"/>
    <n v="2"/>
    <n v="3"/>
    <n v="9"/>
    <n v="7"/>
    <n v="0"/>
    <n v="7"/>
  </r>
  <r>
    <x v="17"/>
    <x v="1"/>
    <x v="1"/>
    <x v="807"/>
    <x v="2"/>
    <n v="10"/>
    <n v="3"/>
    <s v="Medical"/>
    <x v="0"/>
    <n v="1746"/>
    <x v="3"/>
    <x v="1"/>
    <n v="59"/>
    <n v="3"/>
    <n v="1"/>
    <s v="Human Resources"/>
    <x v="0"/>
    <s v="Married"/>
    <x v="1154"/>
    <n v="2097"/>
    <n v="0"/>
    <x v="0"/>
    <x v="1"/>
    <n v="14"/>
    <n v="3"/>
    <n v="4"/>
    <n v="80"/>
    <n v="1"/>
    <n v="3"/>
    <n v="2"/>
    <n v="3"/>
    <n v="2"/>
    <n v="2"/>
    <n v="2"/>
    <n v="1"/>
  </r>
  <r>
    <x v="7"/>
    <x v="0"/>
    <x v="1"/>
    <x v="808"/>
    <x v="2"/>
    <n v="8"/>
    <n v="3"/>
    <s v="Human Resources"/>
    <x v="0"/>
    <n v="1747"/>
    <x v="1"/>
    <x v="0"/>
    <n v="66"/>
    <n v="2"/>
    <n v="1"/>
    <s v="Human Resources"/>
    <x v="0"/>
    <s v="Divorced"/>
    <x v="1155"/>
    <n v="9732"/>
    <n v="6"/>
    <x v="0"/>
    <x v="1"/>
    <n v="11"/>
    <n v="3"/>
    <n v="3"/>
    <n v="80"/>
    <n v="1"/>
    <n v="6"/>
    <n v="0"/>
    <n v="2"/>
    <n v="4"/>
    <n v="2"/>
    <n v="1"/>
    <n v="2"/>
  </r>
  <r>
    <x v="12"/>
    <x v="1"/>
    <x v="0"/>
    <x v="594"/>
    <x v="0"/>
    <n v="5"/>
    <n v="3"/>
    <s v="Technical Degree"/>
    <x v="0"/>
    <n v="1749"/>
    <x v="3"/>
    <x v="1"/>
    <n v="51"/>
    <n v="3"/>
    <n v="2"/>
    <s v="Sales Executive"/>
    <x v="2"/>
    <s v="Married"/>
    <x v="1156"/>
    <n v="20943"/>
    <n v="1"/>
    <x v="0"/>
    <x v="1"/>
    <n v="19"/>
    <n v="3"/>
    <n v="3"/>
    <n v="80"/>
    <n v="1"/>
    <n v="6"/>
    <n v="3"/>
    <n v="3"/>
    <n v="5"/>
    <n v="2"/>
    <n v="0"/>
    <n v="2"/>
  </r>
  <r>
    <x v="4"/>
    <x v="1"/>
    <x v="0"/>
    <x v="809"/>
    <x v="1"/>
    <n v="8"/>
    <n v="3"/>
    <s v="Medical"/>
    <x v="0"/>
    <n v="1751"/>
    <x v="1"/>
    <x v="0"/>
    <n v="67"/>
    <n v="3"/>
    <n v="1"/>
    <s v="Research Scientist"/>
    <x v="0"/>
    <s v="Single"/>
    <x v="1157"/>
    <n v="6152"/>
    <n v="1"/>
    <x v="0"/>
    <x v="1"/>
    <n v="11"/>
    <n v="3"/>
    <n v="3"/>
    <n v="80"/>
    <n v="0"/>
    <n v="6"/>
    <n v="5"/>
    <n v="2"/>
    <n v="6"/>
    <n v="2"/>
    <n v="1"/>
    <n v="4"/>
  </r>
  <r>
    <x v="11"/>
    <x v="0"/>
    <x v="0"/>
    <x v="810"/>
    <x v="0"/>
    <n v="9"/>
    <n v="3"/>
    <s v="Marketing"/>
    <x v="0"/>
    <n v="1752"/>
    <x v="0"/>
    <x v="0"/>
    <n v="52"/>
    <n v="1"/>
    <n v="1"/>
    <s v="Sales Representative"/>
    <x v="1"/>
    <s v="Single"/>
    <x v="1158"/>
    <n v="14630"/>
    <n v="1"/>
    <x v="0"/>
    <x v="1"/>
    <n v="13"/>
    <n v="3"/>
    <n v="3"/>
    <n v="80"/>
    <n v="0"/>
    <n v="2"/>
    <n v="3"/>
    <n v="3"/>
    <n v="2"/>
    <n v="2"/>
    <n v="2"/>
    <n v="2"/>
  </r>
  <r>
    <x v="11"/>
    <x v="1"/>
    <x v="1"/>
    <x v="559"/>
    <x v="1"/>
    <n v="1"/>
    <n v="3"/>
    <s v="Life Sciences"/>
    <x v="0"/>
    <n v="1753"/>
    <x v="2"/>
    <x v="1"/>
    <n v="70"/>
    <n v="4"/>
    <n v="2"/>
    <s v="Healthcare Representative"/>
    <x v="2"/>
    <s v="Single"/>
    <x v="1159"/>
    <n v="23060"/>
    <n v="8"/>
    <x v="0"/>
    <x v="0"/>
    <n v="12"/>
    <n v="3"/>
    <n v="4"/>
    <n v="80"/>
    <n v="0"/>
    <n v="10"/>
    <n v="5"/>
    <n v="4"/>
    <n v="3"/>
    <n v="2"/>
    <n v="0"/>
    <n v="2"/>
  </r>
  <r>
    <x v="7"/>
    <x v="1"/>
    <x v="0"/>
    <x v="206"/>
    <x v="0"/>
    <n v="15"/>
    <n v="2"/>
    <s v="Marketing"/>
    <x v="0"/>
    <n v="1754"/>
    <x v="1"/>
    <x v="1"/>
    <n v="94"/>
    <n v="2"/>
    <n v="3"/>
    <s v="Sales Executive"/>
    <x v="3"/>
    <s v="Divorced"/>
    <x v="1160"/>
    <n v="3088"/>
    <n v="2"/>
    <x v="0"/>
    <x v="1"/>
    <n v="11"/>
    <n v="3"/>
    <n v="1"/>
    <n v="80"/>
    <n v="1"/>
    <n v="12"/>
    <n v="2"/>
    <n v="3"/>
    <n v="7"/>
    <n v="7"/>
    <n v="1"/>
    <n v="7"/>
  </r>
  <r>
    <x v="13"/>
    <x v="1"/>
    <x v="0"/>
    <x v="811"/>
    <x v="1"/>
    <n v="2"/>
    <n v="4"/>
    <s v="Medical"/>
    <x v="0"/>
    <n v="1755"/>
    <x v="2"/>
    <x v="1"/>
    <n v="97"/>
    <n v="4"/>
    <n v="1"/>
    <s v="Research Scientist"/>
    <x v="0"/>
    <s v="Married"/>
    <x v="1161"/>
    <n v="5586"/>
    <n v="0"/>
    <x v="0"/>
    <x v="0"/>
    <n v="14"/>
    <n v="3"/>
    <n v="1"/>
    <n v="80"/>
    <n v="3"/>
    <n v="6"/>
    <n v="3"/>
    <n v="3"/>
    <n v="5"/>
    <n v="0"/>
    <n v="1"/>
    <n v="2"/>
  </r>
  <r>
    <x v="3"/>
    <x v="1"/>
    <x v="2"/>
    <x v="330"/>
    <x v="0"/>
    <n v="2"/>
    <n v="3"/>
    <s v="Marketing"/>
    <x v="0"/>
    <n v="1756"/>
    <x v="2"/>
    <x v="0"/>
    <n v="62"/>
    <n v="3"/>
    <n v="2"/>
    <s v="Sales Executive"/>
    <x v="1"/>
    <s v="Single"/>
    <x v="1162"/>
    <n v="10697"/>
    <n v="8"/>
    <x v="0"/>
    <x v="1"/>
    <n v="15"/>
    <n v="3"/>
    <n v="4"/>
    <n v="80"/>
    <n v="0"/>
    <n v="13"/>
    <n v="2"/>
    <n v="2"/>
    <n v="11"/>
    <n v="7"/>
    <n v="1"/>
    <n v="7"/>
  </r>
  <r>
    <x v="1"/>
    <x v="1"/>
    <x v="0"/>
    <x v="766"/>
    <x v="0"/>
    <n v="11"/>
    <n v="4"/>
    <s v="Marketing"/>
    <x v="0"/>
    <n v="1757"/>
    <x v="2"/>
    <x v="0"/>
    <n v="80"/>
    <n v="3"/>
    <n v="2"/>
    <s v="Sales Executive"/>
    <x v="0"/>
    <s v="Single"/>
    <x v="1163"/>
    <n v="8191"/>
    <n v="3"/>
    <x v="0"/>
    <x v="1"/>
    <n v="12"/>
    <n v="3"/>
    <n v="3"/>
    <n v="80"/>
    <n v="0"/>
    <n v="8"/>
    <n v="1"/>
    <n v="4"/>
    <n v="5"/>
    <n v="1"/>
    <n v="0"/>
    <n v="4"/>
  </r>
  <r>
    <x v="3"/>
    <x v="0"/>
    <x v="0"/>
    <x v="812"/>
    <x v="0"/>
    <n v="16"/>
    <n v="3"/>
    <s v="Life Sciences"/>
    <x v="0"/>
    <n v="1758"/>
    <x v="3"/>
    <x v="0"/>
    <n v="74"/>
    <n v="3"/>
    <n v="3"/>
    <s v="Sales Executive"/>
    <x v="3"/>
    <s v="Single"/>
    <x v="1164"/>
    <n v="10092"/>
    <n v="2"/>
    <x v="0"/>
    <x v="0"/>
    <n v="20"/>
    <n v="4"/>
    <n v="3"/>
    <n v="80"/>
    <n v="0"/>
    <n v="11"/>
    <n v="2"/>
    <n v="2"/>
    <n v="0"/>
    <n v="0"/>
    <n v="0"/>
    <n v="0"/>
  </r>
  <r>
    <x v="8"/>
    <x v="1"/>
    <x v="1"/>
    <x v="126"/>
    <x v="1"/>
    <n v="2"/>
    <n v="2"/>
    <s v="Medical"/>
    <x v="0"/>
    <n v="1760"/>
    <x v="1"/>
    <x v="0"/>
    <n v="75"/>
    <n v="2"/>
    <n v="1"/>
    <s v="Laboratory Technician"/>
    <x v="1"/>
    <s v="Married"/>
    <x v="1165"/>
    <n v="15963"/>
    <n v="4"/>
    <x v="0"/>
    <x v="1"/>
    <n v="14"/>
    <n v="3"/>
    <n v="2"/>
    <n v="80"/>
    <n v="1"/>
    <n v="9"/>
    <n v="4"/>
    <n v="2"/>
    <n v="6"/>
    <n v="1"/>
    <n v="0"/>
    <n v="5"/>
  </r>
  <r>
    <x v="12"/>
    <x v="0"/>
    <x v="0"/>
    <x v="813"/>
    <x v="0"/>
    <n v="16"/>
    <n v="4"/>
    <s v="Marketing"/>
    <x v="0"/>
    <n v="1761"/>
    <x v="3"/>
    <x v="1"/>
    <n v="70"/>
    <n v="3"/>
    <n v="3"/>
    <s v="Sales Executive"/>
    <x v="2"/>
    <s v="Married"/>
    <x v="1166"/>
    <n v="19002"/>
    <n v="2"/>
    <x v="0"/>
    <x v="1"/>
    <n v="13"/>
    <n v="3"/>
    <n v="1"/>
    <n v="80"/>
    <n v="3"/>
    <n v="10"/>
    <n v="2"/>
    <n v="3"/>
    <n v="1"/>
    <n v="0"/>
    <n v="0"/>
    <n v="0"/>
  </r>
  <r>
    <x v="11"/>
    <x v="1"/>
    <x v="0"/>
    <x v="814"/>
    <x v="1"/>
    <n v="4"/>
    <n v="3"/>
    <s v="Technical Degree"/>
    <x v="0"/>
    <n v="1762"/>
    <x v="2"/>
    <x v="0"/>
    <n v="91"/>
    <n v="2"/>
    <n v="1"/>
    <s v="Research Scientist"/>
    <x v="3"/>
    <s v="Divorced"/>
    <x v="971"/>
    <n v="10007"/>
    <n v="1"/>
    <x v="0"/>
    <x v="1"/>
    <n v="13"/>
    <n v="3"/>
    <n v="3"/>
    <n v="80"/>
    <n v="1"/>
    <n v="1"/>
    <n v="2"/>
    <n v="3"/>
    <n v="1"/>
    <n v="0"/>
    <n v="0"/>
    <n v="0"/>
  </r>
  <r>
    <x v="7"/>
    <x v="1"/>
    <x v="0"/>
    <x v="815"/>
    <x v="1"/>
    <n v="16"/>
    <n v="3"/>
    <s v="Life Sciences"/>
    <x v="0"/>
    <n v="1763"/>
    <x v="1"/>
    <x v="1"/>
    <n v="58"/>
    <n v="4"/>
    <n v="2"/>
    <s v="Healthcare Representative"/>
    <x v="2"/>
    <s v="Married"/>
    <x v="1167"/>
    <n v="9128"/>
    <n v="3"/>
    <x v="0"/>
    <x v="1"/>
    <n v="16"/>
    <n v="3"/>
    <n v="3"/>
    <n v="80"/>
    <n v="1"/>
    <n v="10"/>
    <n v="3"/>
    <n v="3"/>
    <n v="7"/>
    <n v="0"/>
    <n v="1"/>
    <n v="7"/>
  </r>
  <r>
    <x v="5"/>
    <x v="1"/>
    <x v="2"/>
    <x v="816"/>
    <x v="1"/>
    <n v="5"/>
    <n v="4"/>
    <s v="Technical Degree"/>
    <x v="0"/>
    <n v="1764"/>
    <x v="0"/>
    <x v="1"/>
    <n v="65"/>
    <n v="3"/>
    <n v="1"/>
    <s v="Research Scientist"/>
    <x v="1"/>
    <s v="Single"/>
    <x v="1168"/>
    <n v="17674"/>
    <n v="2"/>
    <x v="0"/>
    <x v="1"/>
    <n v="14"/>
    <n v="3"/>
    <n v="2"/>
    <n v="80"/>
    <n v="0"/>
    <n v="12"/>
    <n v="3"/>
    <n v="3"/>
    <n v="7"/>
    <n v="7"/>
    <n v="0"/>
    <n v="7"/>
  </r>
  <r>
    <x v="8"/>
    <x v="1"/>
    <x v="0"/>
    <x v="233"/>
    <x v="1"/>
    <n v="18"/>
    <n v="3"/>
    <s v="Medical"/>
    <x v="0"/>
    <n v="1766"/>
    <x v="0"/>
    <x v="1"/>
    <n v="60"/>
    <n v="1"/>
    <n v="2"/>
    <s v="Healthcare Representative"/>
    <x v="0"/>
    <s v="Married"/>
    <x v="1169"/>
    <n v="24539"/>
    <n v="3"/>
    <x v="0"/>
    <x v="0"/>
    <n v="16"/>
    <n v="3"/>
    <n v="3"/>
    <n v="80"/>
    <n v="1"/>
    <n v="15"/>
    <n v="2"/>
    <n v="3"/>
    <n v="1"/>
    <n v="0"/>
    <n v="1"/>
    <n v="0"/>
  </r>
  <r>
    <x v="23"/>
    <x v="0"/>
    <x v="1"/>
    <x v="99"/>
    <x v="1"/>
    <n v="17"/>
    <n v="3"/>
    <s v="Technical Degree"/>
    <x v="0"/>
    <n v="1767"/>
    <x v="1"/>
    <x v="1"/>
    <n v="38"/>
    <n v="2"/>
    <n v="1"/>
    <s v="Research Scientist"/>
    <x v="2"/>
    <s v="Married"/>
    <x v="1170"/>
    <n v="15587"/>
    <n v="9"/>
    <x v="0"/>
    <x v="0"/>
    <n v="16"/>
    <n v="3"/>
    <n v="4"/>
    <n v="80"/>
    <n v="1"/>
    <n v="6"/>
    <n v="4"/>
    <n v="3"/>
    <n v="1"/>
    <n v="0"/>
    <n v="0"/>
    <n v="0"/>
  </r>
  <r>
    <x v="19"/>
    <x v="1"/>
    <x v="0"/>
    <x v="689"/>
    <x v="1"/>
    <n v="12"/>
    <n v="3"/>
    <s v="Medical"/>
    <x v="0"/>
    <n v="1768"/>
    <x v="0"/>
    <x v="1"/>
    <n v="57"/>
    <n v="3"/>
    <n v="1"/>
    <s v="Laboratory Technician"/>
    <x v="1"/>
    <s v="Divorced"/>
    <x v="1171"/>
    <n v="8952"/>
    <n v="8"/>
    <x v="0"/>
    <x v="1"/>
    <n v="22"/>
    <n v="4"/>
    <n v="2"/>
    <n v="80"/>
    <n v="3"/>
    <n v="7"/>
    <n v="6"/>
    <n v="2"/>
    <n v="5"/>
    <n v="3"/>
    <n v="0"/>
    <n v="4"/>
  </r>
  <r>
    <x v="27"/>
    <x v="1"/>
    <x v="0"/>
    <x v="817"/>
    <x v="1"/>
    <n v="2"/>
    <n v="3"/>
    <s v="Medical"/>
    <x v="0"/>
    <n v="1770"/>
    <x v="1"/>
    <x v="1"/>
    <n v="60"/>
    <n v="2"/>
    <n v="5"/>
    <s v="Research Director"/>
    <x v="3"/>
    <s v="Married"/>
    <x v="1172"/>
    <n v="19805"/>
    <n v="8"/>
    <x v="0"/>
    <x v="1"/>
    <n v="12"/>
    <n v="3"/>
    <n v="2"/>
    <n v="80"/>
    <n v="3"/>
    <n v="34"/>
    <n v="2"/>
    <n v="3"/>
    <n v="1"/>
    <n v="0"/>
    <n v="0"/>
    <n v="0"/>
  </r>
  <r>
    <x v="3"/>
    <x v="1"/>
    <x v="2"/>
    <x v="386"/>
    <x v="1"/>
    <n v="4"/>
    <n v="3"/>
    <s v="Technical Degree"/>
    <x v="0"/>
    <n v="1771"/>
    <x v="2"/>
    <x v="1"/>
    <n v="90"/>
    <n v="3"/>
    <n v="2"/>
    <s v="Research Scientist"/>
    <x v="1"/>
    <s v="Divorced"/>
    <x v="1173"/>
    <n v="6194"/>
    <n v="5"/>
    <x v="0"/>
    <x v="1"/>
    <n v="15"/>
    <n v="3"/>
    <n v="4"/>
    <n v="80"/>
    <n v="2"/>
    <n v="11"/>
    <n v="2"/>
    <n v="2"/>
    <n v="9"/>
    <n v="8"/>
    <n v="1"/>
    <n v="7"/>
  </r>
  <r>
    <x v="0"/>
    <x v="1"/>
    <x v="0"/>
    <x v="73"/>
    <x v="1"/>
    <n v="9"/>
    <n v="4"/>
    <s v="Life Sciences"/>
    <x v="0"/>
    <n v="1772"/>
    <x v="1"/>
    <x v="1"/>
    <n v="94"/>
    <n v="3"/>
    <n v="1"/>
    <s v="Laboratory Technician"/>
    <x v="3"/>
    <s v="Divorced"/>
    <x v="1174"/>
    <n v="20520"/>
    <n v="1"/>
    <x v="0"/>
    <x v="1"/>
    <n v="20"/>
    <n v="4"/>
    <n v="2"/>
    <n v="80"/>
    <n v="2"/>
    <n v="5"/>
    <n v="2"/>
    <n v="3"/>
    <n v="5"/>
    <n v="3"/>
    <n v="0"/>
    <n v="4"/>
  </r>
  <r>
    <x v="13"/>
    <x v="1"/>
    <x v="2"/>
    <x v="818"/>
    <x v="0"/>
    <n v="10"/>
    <n v="3"/>
    <s v="Life Sciences"/>
    <x v="0"/>
    <n v="1774"/>
    <x v="2"/>
    <x v="1"/>
    <n v="87"/>
    <n v="3"/>
    <n v="2"/>
    <s v="Sales Executive"/>
    <x v="2"/>
    <s v="Divorced"/>
    <x v="1175"/>
    <n v="12313"/>
    <n v="1"/>
    <x v="0"/>
    <x v="0"/>
    <n v="14"/>
    <n v="3"/>
    <n v="3"/>
    <n v="80"/>
    <n v="1"/>
    <n v="15"/>
    <n v="3"/>
    <n v="3"/>
    <n v="15"/>
    <n v="14"/>
    <n v="0"/>
    <n v="7"/>
  </r>
  <r>
    <x v="16"/>
    <x v="1"/>
    <x v="2"/>
    <x v="498"/>
    <x v="1"/>
    <n v="1"/>
    <n v="4"/>
    <s v="Medical"/>
    <x v="0"/>
    <n v="1775"/>
    <x v="3"/>
    <x v="0"/>
    <n v="60"/>
    <n v="2"/>
    <n v="4"/>
    <s v="Manufacturing Director"/>
    <x v="2"/>
    <s v="Married"/>
    <x v="1176"/>
    <n v="22308"/>
    <n v="4"/>
    <x v="0"/>
    <x v="0"/>
    <n v="20"/>
    <n v="4"/>
    <n v="4"/>
    <n v="80"/>
    <n v="3"/>
    <n v="27"/>
    <n v="2"/>
    <n v="2"/>
    <n v="3"/>
    <n v="2"/>
    <n v="0"/>
    <n v="2"/>
  </r>
  <r>
    <x v="23"/>
    <x v="1"/>
    <x v="0"/>
    <x v="819"/>
    <x v="2"/>
    <n v="2"/>
    <n v="3"/>
    <s v="Life Sciences"/>
    <x v="0"/>
    <n v="1778"/>
    <x v="0"/>
    <x v="1"/>
    <n v="97"/>
    <n v="3"/>
    <n v="1"/>
    <s v="Human Resources"/>
    <x v="0"/>
    <s v="Single"/>
    <x v="1177"/>
    <n v="5033"/>
    <n v="0"/>
    <x v="0"/>
    <x v="1"/>
    <n v="13"/>
    <n v="3"/>
    <n v="2"/>
    <n v="80"/>
    <n v="0"/>
    <n v="10"/>
    <n v="5"/>
    <n v="3"/>
    <n v="9"/>
    <n v="7"/>
    <n v="1"/>
    <n v="8"/>
  </r>
  <r>
    <x v="13"/>
    <x v="1"/>
    <x v="0"/>
    <x v="820"/>
    <x v="0"/>
    <n v="3"/>
    <n v="2"/>
    <s v="Life Sciences"/>
    <x v="0"/>
    <n v="1779"/>
    <x v="2"/>
    <x v="0"/>
    <n v="32"/>
    <n v="1"/>
    <n v="2"/>
    <s v="Sales Executive"/>
    <x v="0"/>
    <s v="Single"/>
    <x v="1178"/>
    <n v="25353"/>
    <n v="5"/>
    <x v="0"/>
    <x v="1"/>
    <n v="12"/>
    <n v="3"/>
    <n v="1"/>
    <n v="80"/>
    <n v="0"/>
    <n v="6"/>
    <n v="3"/>
    <n v="3"/>
    <n v="2"/>
    <n v="2"/>
    <n v="2"/>
    <n v="2"/>
  </r>
  <r>
    <x v="18"/>
    <x v="0"/>
    <x v="0"/>
    <x v="709"/>
    <x v="0"/>
    <n v="7"/>
    <n v="1"/>
    <s v="Marketing"/>
    <x v="0"/>
    <n v="1780"/>
    <x v="0"/>
    <x v="1"/>
    <n v="31"/>
    <n v="3"/>
    <n v="1"/>
    <s v="Sales Representative"/>
    <x v="1"/>
    <s v="Single"/>
    <x v="1179"/>
    <n v="4567"/>
    <n v="1"/>
    <x v="0"/>
    <x v="1"/>
    <n v="13"/>
    <n v="3"/>
    <n v="2"/>
    <n v="80"/>
    <n v="0"/>
    <n v="1"/>
    <n v="3"/>
    <n v="3"/>
    <n v="1"/>
    <n v="0"/>
    <n v="1"/>
    <n v="0"/>
  </r>
  <r>
    <x v="8"/>
    <x v="1"/>
    <x v="0"/>
    <x v="83"/>
    <x v="1"/>
    <n v="6"/>
    <n v="2"/>
    <s v="Other"/>
    <x v="0"/>
    <n v="1782"/>
    <x v="2"/>
    <x v="0"/>
    <n v="40"/>
    <n v="2"/>
    <n v="1"/>
    <s v="Laboratory Technician"/>
    <x v="2"/>
    <s v="Married"/>
    <x v="1180"/>
    <n v="16376"/>
    <n v="1"/>
    <x v="0"/>
    <x v="1"/>
    <n v="11"/>
    <n v="3"/>
    <n v="2"/>
    <n v="80"/>
    <n v="1"/>
    <n v="5"/>
    <n v="3"/>
    <n v="3"/>
    <n v="5"/>
    <n v="4"/>
    <n v="0"/>
    <n v="4"/>
  </r>
  <r>
    <x v="15"/>
    <x v="0"/>
    <x v="0"/>
    <x v="821"/>
    <x v="1"/>
    <n v="8"/>
    <n v="1"/>
    <s v="Medical"/>
    <x v="0"/>
    <n v="1783"/>
    <x v="1"/>
    <x v="0"/>
    <n v="79"/>
    <n v="3"/>
    <n v="1"/>
    <s v="Laboratory Technician"/>
    <x v="3"/>
    <s v="Married"/>
    <x v="1181"/>
    <n v="15999"/>
    <n v="1"/>
    <x v="0"/>
    <x v="0"/>
    <n v="17"/>
    <n v="3"/>
    <n v="3"/>
    <n v="80"/>
    <n v="0"/>
    <n v="1"/>
    <n v="6"/>
    <n v="3"/>
    <n v="1"/>
    <n v="0"/>
    <n v="0"/>
    <n v="0"/>
  </r>
  <r>
    <x v="12"/>
    <x v="1"/>
    <x v="0"/>
    <x v="822"/>
    <x v="0"/>
    <n v="29"/>
    <n v="4"/>
    <s v="Marketing"/>
    <x v="0"/>
    <n v="1784"/>
    <x v="3"/>
    <x v="0"/>
    <n v="91"/>
    <n v="2"/>
    <n v="2"/>
    <s v="Sales Executive"/>
    <x v="0"/>
    <s v="Married"/>
    <x v="1182"/>
    <n v="13402"/>
    <n v="1"/>
    <x v="0"/>
    <x v="1"/>
    <n v="14"/>
    <n v="3"/>
    <n v="1"/>
    <n v="80"/>
    <n v="2"/>
    <n v="13"/>
    <n v="3"/>
    <n v="3"/>
    <n v="12"/>
    <n v="7"/>
    <n v="5"/>
    <n v="7"/>
  </r>
  <r>
    <x v="31"/>
    <x v="1"/>
    <x v="0"/>
    <x v="631"/>
    <x v="1"/>
    <n v="3"/>
    <n v="3"/>
    <s v="Technical Degree"/>
    <x v="0"/>
    <n v="1786"/>
    <x v="3"/>
    <x v="0"/>
    <n v="53"/>
    <n v="3"/>
    <n v="3"/>
    <s v="Manager"/>
    <x v="2"/>
    <s v="Married"/>
    <x v="1183"/>
    <n v="22984"/>
    <n v="2"/>
    <x v="0"/>
    <x v="1"/>
    <n v="11"/>
    <n v="3"/>
    <n v="4"/>
    <n v="80"/>
    <n v="0"/>
    <n v="15"/>
    <n v="2"/>
    <n v="3"/>
    <n v="2"/>
    <n v="2"/>
    <n v="2"/>
    <n v="2"/>
  </r>
  <r>
    <x v="2"/>
    <x v="1"/>
    <x v="0"/>
    <x v="490"/>
    <x v="0"/>
    <n v="9"/>
    <n v="2"/>
    <s v="Marketing"/>
    <x v="0"/>
    <n v="1787"/>
    <x v="0"/>
    <x v="1"/>
    <n v="46"/>
    <n v="2"/>
    <n v="2"/>
    <s v="Sales Executive"/>
    <x v="1"/>
    <s v="Married"/>
    <x v="1184"/>
    <n v="8800"/>
    <n v="1"/>
    <x v="0"/>
    <x v="1"/>
    <n v="14"/>
    <n v="3"/>
    <n v="1"/>
    <n v="80"/>
    <n v="2"/>
    <n v="5"/>
    <n v="2"/>
    <n v="3"/>
    <n v="5"/>
    <n v="2"/>
    <n v="0"/>
    <n v="3"/>
  </r>
  <r>
    <x v="21"/>
    <x v="1"/>
    <x v="0"/>
    <x v="823"/>
    <x v="1"/>
    <n v="2"/>
    <n v="4"/>
    <s v="Medical"/>
    <x v="0"/>
    <n v="1789"/>
    <x v="1"/>
    <x v="1"/>
    <n v="46"/>
    <n v="3"/>
    <n v="5"/>
    <s v="Research Director"/>
    <x v="0"/>
    <s v="Divorced"/>
    <x v="1185"/>
    <n v="14218"/>
    <n v="7"/>
    <x v="0"/>
    <x v="0"/>
    <n v="17"/>
    <n v="3"/>
    <n v="3"/>
    <n v="80"/>
    <n v="1"/>
    <n v="24"/>
    <n v="3"/>
    <n v="3"/>
    <n v="2"/>
    <n v="1"/>
    <n v="2"/>
    <n v="2"/>
  </r>
  <r>
    <x v="9"/>
    <x v="1"/>
    <x v="0"/>
    <x v="519"/>
    <x v="1"/>
    <n v="10"/>
    <n v="3"/>
    <s v="Life Sciences"/>
    <x v="0"/>
    <n v="1790"/>
    <x v="2"/>
    <x v="1"/>
    <n v="90"/>
    <n v="3"/>
    <n v="3"/>
    <s v="Healthcare Representative"/>
    <x v="3"/>
    <s v="Married"/>
    <x v="1186"/>
    <n v="25949"/>
    <n v="7"/>
    <x v="0"/>
    <x v="0"/>
    <n v="13"/>
    <n v="3"/>
    <n v="4"/>
    <n v="80"/>
    <n v="1"/>
    <n v="15"/>
    <n v="1"/>
    <n v="3"/>
    <n v="12"/>
    <n v="8"/>
    <n v="5"/>
    <n v="7"/>
  </r>
  <r>
    <x v="20"/>
    <x v="0"/>
    <x v="1"/>
    <x v="665"/>
    <x v="1"/>
    <n v="1"/>
    <n v="2"/>
    <s v="Medical"/>
    <x v="0"/>
    <n v="1792"/>
    <x v="1"/>
    <x v="1"/>
    <n v="99"/>
    <n v="3"/>
    <n v="1"/>
    <s v="Research Scientist"/>
    <x v="1"/>
    <s v="Divorced"/>
    <x v="531"/>
    <n v="11092"/>
    <n v="1"/>
    <x v="0"/>
    <x v="0"/>
    <n v="12"/>
    <n v="3"/>
    <n v="3"/>
    <n v="80"/>
    <n v="3"/>
    <n v="6"/>
    <n v="2"/>
    <n v="2"/>
    <n v="5"/>
    <n v="3"/>
    <n v="2"/>
    <n v="3"/>
  </r>
  <r>
    <x v="2"/>
    <x v="1"/>
    <x v="0"/>
    <x v="824"/>
    <x v="2"/>
    <n v="8"/>
    <n v="2"/>
    <s v="Other"/>
    <x v="0"/>
    <n v="1794"/>
    <x v="1"/>
    <x v="1"/>
    <n v="89"/>
    <n v="3"/>
    <n v="2"/>
    <s v="Human Resources"/>
    <x v="1"/>
    <s v="Divorced"/>
    <x v="1187"/>
    <n v="12832"/>
    <n v="2"/>
    <x v="0"/>
    <x v="1"/>
    <n v="13"/>
    <n v="3"/>
    <n v="3"/>
    <n v="80"/>
    <n v="0"/>
    <n v="19"/>
    <n v="4"/>
    <n v="2"/>
    <n v="10"/>
    <n v="0"/>
    <n v="4"/>
    <n v="7"/>
  </r>
  <r>
    <x v="10"/>
    <x v="0"/>
    <x v="0"/>
    <x v="154"/>
    <x v="0"/>
    <n v="27"/>
    <n v="3"/>
    <s v="Life Sciences"/>
    <x v="0"/>
    <n v="1797"/>
    <x v="1"/>
    <x v="1"/>
    <n v="84"/>
    <n v="3"/>
    <n v="2"/>
    <s v="Sales Executive"/>
    <x v="0"/>
    <s v="Single"/>
    <x v="1188"/>
    <n v="13492"/>
    <n v="1"/>
    <x v="0"/>
    <x v="0"/>
    <n v="18"/>
    <n v="3"/>
    <n v="4"/>
    <n v="80"/>
    <n v="0"/>
    <n v="10"/>
    <n v="2"/>
    <n v="3"/>
    <n v="10"/>
    <n v="7"/>
    <n v="7"/>
    <n v="7"/>
  </r>
  <r>
    <x v="3"/>
    <x v="1"/>
    <x v="0"/>
    <x v="542"/>
    <x v="1"/>
    <n v="8"/>
    <n v="4"/>
    <s v="Life Sciences"/>
    <x v="0"/>
    <n v="1798"/>
    <x v="2"/>
    <x v="1"/>
    <n v="90"/>
    <n v="4"/>
    <n v="1"/>
    <s v="Research Scientist"/>
    <x v="3"/>
    <s v="Married"/>
    <x v="1189"/>
    <n v="6076"/>
    <n v="6"/>
    <x v="0"/>
    <x v="1"/>
    <n v="19"/>
    <n v="3"/>
    <n v="2"/>
    <n v="80"/>
    <n v="1"/>
    <n v="14"/>
    <n v="1"/>
    <n v="3"/>
    <n v="10"/>
    <n v="8"/>
    <n v="7"/>
    <n v="6"/>
  </r>
  <r>
    <x v="14"/>
    <x v="1"/>
    <x v="0"/>
    <x v="144"/>
    <x v="1"/>
    <n v="1"/>
    <n v="3"/>
    <s v="Life Sciences"/>
    <x v="0"/>
    <n v="1799"/>
    <x v="1"/>
    <x v="1"/>
    <n v="82"/>
    <n v="3"/>
    <n v="1"/>
    <s v="Research Scientist"/>
    <x v="0"/>
    <s v="Married"/>
    <x v="633"/>
    <n v="5531"/>
    <n v="1"/>
    <x v="0"/>
    <x v="1"/>
    <n v="11"/>
    <n v="3"/>
    <n v="3"/>
    <n v="80"/>
    <n v="1"/>
    <n v="5"/>
    <n v="6"/>
    <n v="4"/>
    <n v="5"/>
    <n v="3"/>
    <n v="0"/>
    <n v="3"/>
  </r>
  <r>
    <x v="22"/>
    <x v="1"/>
    <x v="0"/>
    <x v="825"/>
    <x v="1"/>
    <n v="10"/>
    <n v="1"/>
    <s v="Medical"/>
    <x v="0"/>
    <n v="1800"/>
    <x v="1"/>
    <x v="1"/>
    <n v="65"/>
    <n v="3"/>
    <n v="3"/>
    <s v="Research Director"/>
    <x v="2"/>
    <s v="Single"/>
    <x v="1190"/>
    <n v="7914"/>
    <n v="7"/>
    <x v="0"/>
    <x v="1"/>
    <n v="21"/>
    <n v="4"/>
    <n v="3"/>
    <n v="80"/>
    <n v="0"/>
    <n v="9"/>
    <n v="3"/>
    <n v="3"/>
    <n v="4"/>
    <n v="3"/>
    <n v="2"/>
    <n v="2"/>
  </r>
  <r>
    <x v="21"/>
    <x v="1"/>
    <x v="2"/>
    <x v="278"/>
    <x v="0"/>
    <n v="26"/>
    <n v="2"/>
    <s v="Life Sciences"/>
    <x v="0"/>
    <n v="1801"/>
    <x v="0"/>
    <x v="1"/>
    <n v="98"/>
    <n v="2"/>
    <n v="2"/>
    <s v="Sales Executive"/>
    <x v="1"/>
    <s v="Single"/>
    <x v="1191"/>
    <n v="25166"/>
    <n v="8"/>
    <x v="0"/>
    <x v="1"/>
    <n v="15"/>
    <n v="3"/>
    <n v="3"/>
    <n v="80"/>
    <n v="0"/>
    <n v="6"/>
    <n v="3"/>
    <n v="3"/>
    <n v="2"/>
    <n v="2"/>
    <n v="2"/>
    <n v="2"/>
  </r>
  <r>
    <x v="32"/>
    <x v="1"/>
    <x v="0"/>
    <x v="546"/>
    <x v="1"/>
    <n v="2"/>
    <n v="2"/>
    <s v="Life Sciences"/>
    <x v="0"/>
    <n v="1802"/>
    <x v="1"/>
    <x v="0"/>
    <n v="99"/>
    <n v="3"/>
    <n v="1"/>
    <s v="Laboratory Technician"/>
    <x v="3"/>
    <s v="Married"/>
    <x v="1192"/>
    <n v="25605"/>
    <n v="4"/>
    <x v="0"/>
    <x v="1"/>
    <n v="17"/>
    <n v="3"/>
    <n v="4"/>
    <n v="80"/>
    <n v="1"/>
    <n v="7"/>
    <n v="5"/>
    <n v="2"/>
    <n v="4"/>
    <n v="3"/>
    <n v="0"/>
    <n v="2"/>
  </r>
  <r>
    <x v="19"/>
    <x v="1"/>
    <x v="0"/>
    <x v="826"/>
    <x v="1"/>
    <n v="13"/>
    <n v="3"/>
    <s v="Medical"/>
    <x v="0"/>
    <n v="1803"/>
    <x v="0"/>
    <x v="1"/>
    <n v="95"/>
    <n v="4"/>
    <n v="2"/>
    <s v="Healthcare Representative"/>
    <x v="3"/>
    <s v="Married"/>
    <x v="1193"/>
    <n v="5696"/>
    <n v="5"/>
    <x v="0"/>
    <x v="1"/>
    <n v="18"/>
    <n v="3"/>
    <n v="3"/>
    <n v="80"/>
    <n v="2"/>
    <n v="10"/>
    <n v="2"/>
    <n v="2"/>
    <n v="0"/>
    <n v="0"/>
    <n v="0"/>
    <n v="0"/>
  </r>
  <r>
    <x v="10"/>
    <x v="1"/>
    <x v="2"/>
    <x v="189"/>
    <x v="1"/>
    <n v="2"/>
    <n v="2"/>
    <s v="Medical"/>
    <x v="0"/>
    <n v="1804"/>
    <x v="0"/>
    <x v="1"/>
    <n v="90"/>
    <n v="3"/>
    <n v="2"/>
    <s v="Manufacturing Director"/>
    <x v="0"/>
    <s v="Divorced"/>
    <x v="1194"/>
    <n v="24442"/>
    <n v="2"/>
    <x v="0"/>
    <x v="1"/>
    <n v="14"/>
    <n v="3"/>
    <n v="3"/>
    <n v="80"/>
    <n v="1"/>
    <n v="15"/>
    <n v="6"/>
    <n v="3"/>
    <n v="7"/>
    <n v="7"/>
    <n v="1"/>
    <n v="7"/>
  </r>
  <r>
    <x v="8"/>
    <x v="1"/>
    <x v="2"/>
    <x v="827"/>
    <x v="2"/>
    <n v="2"/>
    <n v="3"/>
    <s v="Human Resources"/>
    <x v="0"/>
    <n v="1805"/>
    <x v="3"/>
    <x v="1"/>
    <n v="100"/>
    <n v="3"/>
    <n v="1"/>
    <s v="Human Resources"/>
    <x v="1"/>
    <s v="Divorced"/>
    <x v="1195"/>
    <n v="7129"/>
    <n v="5"/>
    <x v="0"/>
    <x v="1"/>
    <n v="13"/>
    <n v="3"/>
    <n v="4"/>
    <n v="80"/>
    <n v="3"/>
    <n v="13"/>
    <n v="3"/>
    <n v="3"/>
    <n v="11"/>
    <n v="10"/>
    <n v="3"/>
    <n v="8"/>
  </r>
  <r>
    <x v="13"/>
    <x v="0"/>
    <x v="1"/>
    <x v="828"/>
    <x v="1"/>
    <n v="9"/>
    <n v="4"/>
    <s v="Life Sciences"/>
    <x v="0"/>
    <n v="1807"/>
    <x v="2"/>
    <x v="1"/>
    <n v="93"/>
    <n v="3"/>
    <n v="2"/>
    <s v="Laboratory Technician"/>
    <x v="3"/>
    <s v="Married"/>
    <x v="800"/>
    <n v="6208"/>
    <n v="4"/>
    <x v="0"/>
    <x v="1"/>
    <n v="17"/>
    <n v="3"/>
    <n v="3"/>
    <n v="80"/>
    <n v="1"/>
    <n v="11"/>
    <n v="3"/>
    <n v="2"/>
    <n v="7"/>
    <n v="1"/>
    <n v="0"/>
    <n v="7"/>
  </r>
  <r>
    <x v="2"/>
    <x v="0"/>
    <x v="0"/>
    <x v="791"/>
    <x v="1"/>
    <n v="10"/>
    <n v="4"/>
    <s v="Medical"/>
    <x v="0"/>
    <n v="1809"/>
    <x v="2"/>
    <x v="1"/>
    <n v="58"/>
    <n v="3"/>
    <n v="2"/>
    <s v="Manufacturing Director"/>
    <x v="3"/>
    <s v="Single"/>
    <x v="1196"/>
    <n v="4992"/>
    <n v="1"/>
    <x v="0"/>
    <x v="1"/>
    <n v="15"/>
    <n v="3"/>
    <n v="2"/>
    <n v="80"/>
    <n v="0"/>
    <n v="10"/>
    <n v="4"/>
    <n v="1"/>
    <n v="10"/>
    <n v="3"/>
    <n v="0"/>
    <n v="8"/>
  </r>
  <r>
    <x v="22"/>
    <x v="1"/>
    <x v="1"/>
    <x v="829"/>
    <x v="0"/>
    <n v="20"/>
    <n v="3"/>
    <s v="Life Sciences"/>
    <x v="0"/>
    <n v="1812"/>
    <x v="1"/>
    <x v="1"/>
    <n v="83"/>
    <n v="3"/>
    <n v="2"/>
    <s v="Sales Executive"/>
    <x v="0"/>
    <s v="Divorced"/>
    <x v="1197"/>
    <n v="19188"/>
    <n v="2"/>
    <x v="0"/>
    <x v="1"/>
    <n v="18"/>
    <n v="3"/>
    <n v="4"/>
    <n v="80"/>
    <n v="1"/>
    <n v="7"/>
    <n v="6"/>
    <n v="3"/>
    <n v="2"/>
    <n v="1"/>
    <n v="2"/>
    <n v="2"/>
  </r>
  <r>
    <x v="23"/>
    <x v="1"/>
    <x v="2"/>
    <x v="308"/>
    <x v="1"/>
    <n v="9"/>
    <n v="3"/>
    <s v="Life Sciences"/>
    <x v="0"/>
    <n v="1813"/>
    <x v="3"/>
    <x v="1"/>
    <n v="52"/>
    <n v="3"/>
    <n v="1"/>
    <s v="Research Scientist"/>
    <x v="2"/>
    <s v="Single"/>
    <x v="1198"/>
    <n v="24978"/>
    <n v="4"/>
    <x v="0"/>
    <x v="1"/>
    <n v="13"/>
    <n v="3"/>
    <n v="3"/>
    <n v="80"/>
    <n v="0"/>
    <n v="7"/>
    <n v="2"/>
    <n v="2"/>
    <n v="3"/>
    <n v="2"/>
    <n v="1"/>
    <n v="2"/>
  </r>
  <r>
    <x v="0"/>
    <x v="1"/>
    <x v="0"/>
    <x v="725"/>
    <x v="1"/>
    <n v="5"/>
    <n v="3"/>
    <s v="Life Sciences"/>
    <x v="0"/>
    <n v="1814"/>
    <x v="0"/>
    <x v="1"/>
    <n v="85"/>
    <n v="4"/>
    <n v="2"/>
    <s v="Healthcare Representative"/>
    <x v="1"/>
    <s v="Single"/>
    <x v="1199"/>
    <n v="15530"/>
    <n v="3"/>
    <x v="0"/>
    <x v="1"/>
    <n v="12"/>
    <n v="3"/>
    <n v="1"/>
    <n v="80"/>
    <n v="0"/>
    <n v="11"/>
    <n v="3"/>
    <n v="1"/>
    <n v="3"/>
    <n v="2"/>
    <n v="1"/>
    <n v="2"/>
  </r>
  <r>
    <x v="0"/>
    <x v="1"/>
    <x v="0"/>
    <x v="591"/>
    <x v="0"/>
    <n v="4"/>
    <n v="1"/>
    <s v="Marketing"/>
    <x v="0"/>
    <n v="1815"/>
    <x v="1"/>
    <x v="0"/>
    <n v="81"/>
    <n v="3"/>
    <n v="3"/>
    <s v="Sales Executive"/>
    <x v="2"/>
    <s v="Divorced"/>
    <x v="1200"/>
    <n v="26458"/>
    <n v="0"/>
    <x v="0"/>
    <x v="0"/>
    <n v="13"/>
    <n v="3"/>
    <n v="4"/>
    <n v="80"/>
    <n v="1"/>
    <n v="23"/>
    <n v="3"/>
    <n v="4"/>
    <n v="22"/>
    <n v="14"/>
    <n v="13"/>
    <n v="5"/>
  </r>
  <r>
    <x v="7"/>
    <x v="1"/>
    <x v="0"/>
    <x v="474"/>
    <x v="1"/>
    <n v="10"/>
    <n v="3"/>
    <s v="Medical"/>
    <x v="0"/>
    <n v="1816"/>
    <x v="3"/>
    <x v="0"/>
    <n v="64"/>
    <n v="3"/>
    <n v="3"/>
    <s v="Manufacturing Director"/>
    <x v="2"/>
    <s v="Single"/>
    <x v="1201"/>
    <n v="2739"/>
    <n v="9"/>
    <x v="0"/>
    <x v="1"/>
    <n v="14"/>
    <n v="3"/>
    <n v="2"/>
    <n v="80"/>
    <n v="0"/>
    <n v="9"/>
    <n v="3"/>
    <n v="3"/>
    <n v="7"/>
    <n v="7"/>
    <n v="0"/>
    <n v="2"/>
  </r>
  <r>
    <x v="25"/>
    <x v="0"/>
    <x v="0"/>
    <x v="258"/>
    <x v="2"/>
    <n v="20"/>
    <n v="2"/>
    <s v="Medical"/>
    <x v="0"/>
    <n v="1818"/>
    <x v="2"/>
    <x v="0"/>
    <n v="69"/>
    <n v="3"/>
    <n v="1"/>
    <s v="Human Resources"/>
    <x v="1"/>
    <s v="Married"/>
    <x v="1202"/>
    <n v="6889"/>
    <n v="0"/>
    <x v="0"/>
    <x v="0"/>
    <n v="11"/>
    <n v="3"/>
    <n v="3"/>
    <n v="80"/>
    <n v="0"/>
    <n v="6"/>
    <n v="3"/>
    <n v="3"/>
    <n v="5"/>
    <n v="1"/>
    <n v="1"/>
    <n v="4"/>
  </r>
  <r>
    <x v="21"/>
    <x v="0"/>
    <x v="0"/>
    <x v="830"/>
    <x v="1"/>
    <n v="21"/>
    <n v="2"/>
    <s v="Medical"/>
    <x v="0"/>
    <n v="1821"/>
    <x v="2"/>
    <x v="0"/>
    <n v="66"/>
    <n v="3"/>
    <n v="2"/>
    <s v="Healthcare Representative"/>
    <x v="1"/>
    <s v="Married"/>
    <x v="1203"/>
    <n v="10842"/>
    <n v="4"/>
    <x v="0"/>
    <x v="1"/>
    <n v="22"/>
    <n v="4"/>
    <n v="4"/>
    <n v="80"/>
    <n v="1"/>
    <n v="13"/>
    <n v="2"/>
    <n v="4"/>
    <n v="9"/>
    <n v="7"/>
    <n v="3"/>
    <n v="7"/>
  </r>
  <r>
    <x v="32"/>
    <x v="1"/>
    <x v="0"/>
    <x v="831"/>
    <x v="1"/>
    <n v="1"/>
    <n v="3"/>
    <s v="Life Sciences"/>
    <x v="0"/>
    <n v="1822"/>
    <x v="1"/>
    <x v="0"/>
    <n v="52"/>
    <n v="3"/>
    <n v="2"/>
    <s v="Healthcare Representative"/>
    <x v="0"/>
    <s v="Divorced"/>
    <x v="1204"/>
    <n v="9060"/>
    <n v="4"/>
    <x v="0"/>
    <x v="1"/>
    <n v="17"/>
    <n v="3"/>
    <n v="4"/>
    <n v="80"/>
    <n v="1"/>
    <n v="12"/>
    <n v="3"/>
    <n v="3"/>
    <n v="5"/>
    <n v="3"/>
    <n v="0"/>
    <n v="3"/>
  </r>
  <r>
    <x v="13"/>
    <x v="1"/>
    <x v="0"/>
    <x v="313"/>
    <x v="0"/>
    <n v="8"/>
    <n v="2"/>
    <s v="Technical Degree"/>
    <x v="0"/>
    <n v="1823"/>
    <x v="0"/>
    <x v="1"/>
    <n v="92"/>
    <n v="4"/>
    <n v="2"/>
    <s v="Sales Executive"/>
    <x v="2"/>
    <s v="Married"/>
    <x v="1205"/>
    <n v="22128"/>
    <n v="1"/>
    <x v="0"/>
    <x v="1"/>
    <n v="21"/>
    <n v="4"/>
    <n v="3"/>
    <n v="80"/>
    <n v="2"/>
    <n v="10"/>
    <n v="5"/>
    <n v="3"/>
    <n v="10"/>
    <n v="8"/>
    <n v="4"/>
    <n v="8"/>
  </r>
  <r>
    <x v="34"/>
    <x v="1"/>
    <x v="2"/>
    <x v="323"/>
    <x v="0"/>
    <n v="2"/>
    <n v="3"/>
    <s v="Medical"/>
    <x v="0"/>
    <n v="1824"/>
    <x v="0"/>
    <x v="1"/>
    <n v="52"/>
    <n v="3"/>
    <n v="4"/>
    <s v="Manager"/>
    <x v="1"/>
    <s v="Divorced"/>
    <x v="1206"/>
    <n v="22577"/>
    <n v="4"/>
    <x v="0"/>
    <x v="1"/>
    <n v="22"/>
    <n v="4"/>
    <n v="4"/>
    <n v="80"/>
    <n v="1"/>
    <n v="37"/>
    <n v="0"/>
    <n v="2"/>
    <n v="16"/>
    <n v="9"/>
    <n v="14"/>
    <n v="14"/>
  </r>
  <r>
    <x v="10"/>
    <x v="1"/>
    <x v="0"/>
    <x v="285"/>
    <x v="1"/>
    <n v="23"/>
    <n v="4"/>
    <s v="Medical"/>
    <x v="0"/>
    <n v="1826"/>
    <x v="0"/>
    <x v="1"/>
    <n v="91"/>
    <n v="1"/>
    <n v="1"/>
    <s v="Laboratory Technician"/>
    <x v="2"/>
    <s v="Married"/>
    <x v="1207"/>
    <n v="9696"/>
    <n v="0"/>
    <x v="0"/>
    <x v="1"/>
    <n v="16"/>
    <n v="3"/>
    <n v="2"/>
    <n v="80"/>
    <n v="1"/>
    <n v="6"/>
    <n v="2"/>
    <n v="4"/>
    <n v="5"/>
    <n v="4"/>
    <n v="0"/>
    <n v="3"/>
  </r>
  <r>
    <x v="40"/>
    <x v="1"/>
    <x v="0"/>
    <x v="301"/>
    <x v="1"/>
    <n v="4"/>
    <n v="3"/>
    <s v="Life Sciences"/>
    <x v="0"/>
    <n v="1827"/>
    <x v="1"/>
    <x v="0"/>
    <n v="92"/>
    <n v="2"/>
    <n v="3"/>
    <s v="Manufacturing Director"/>
    <x v="1"/>
    <s v="Divorced"/>
    <x v="1208"/>
    <n v="19271"/>
    <n v="8"/>
    <x v="0"/>
    <x v="0"/>
    <n v="12"/>
    <n v="3"/>
    <n v="3"/>
    <n v="80"/>
    <n v="1"/>
    <n v="28"/>
    <n v="4"/>
    <n v="3"/>
    <n v="22"/>
    <n v="11"/>
    <n v="14"/>
    <n v="10"/>
  </r>
  <r>
    <x v="32"/>
    <x v="1"/>
    <x v="0"/>
    <x v="119"/>
    <x v="1"/>
    <n v="12"/>
    <n v="3"/>
    <s v="Life Sciences"/>
    <x v="0"/>
    <n v="1829"/>
    <x v="0"/>
    <x v="0"/>
    <n v="47"/>
    <n v="3"/>
    <n v="2"/>
    <s v="Healthcare Representative"/>
    <x v="3"/>
    <s v="Divorced"/>
    <x v="1209"/>
    <n v="10748"/>
    <n v="2"/>
    <x v="0"/>
    <x v="1"/>
    <n v="12"/>
    <n v="3"/>
    <n v="2"/>
    <n v="80"/>
    <n v="1"/>
    <n v="15"/>
    <n v="3"/>
    <n v="3"/>
    <n v="7"/>
    <n v="4"/>
    <n v="7"/>
    <n v="7"/>
  </r>
  <r>
    <x v="33"/>
    <x v="1"/>
    <x v="0"/>
    <x v="832"/>
    <x v="1"/>
    <n v="7"/>
    <n v="4"/>
    <s v="Medical"/>
    <x v="0"/>
    <n v="1830"/>
    <x v="2"/>
    <x v="0"/>
    <n v="68"/>
    <n v="3"/>
    <n v="2"/>
    <s v="Research Scientist"/>
    <x v="0"/>
    <s v="Married"/>
    <x v="1210"/>
    <n v="15696"/>
    <n v="4"/>
    <x v="0"/>
    <x v="1"/>
    <n v="15"/>
    <n v="3"/>
    <n v="2"/>
    <n v="80"/>
    <n v="1"/>
    <n v="14"/>
    <n v="2"/>
    <n v="2"/>
    <n v="7"/>
    <n v="1"/>
    <n v="1"/>
    <n v="7"/>
  </r>
  <r>
    <x v="12"/>
    <x v="1"/>
    <x v="1"/>
    <x v="26"/>
    <x v="0"/>
    <n v="7"/>
    <n v="4"/>
    <s v="Marketing"/>
    <x v="0"/>
    <n v="1833"/>
    <x v="3"/>
    <x v="0"/>
    <n v="68"/>
    <n v="3"/>
    <n v="3"/>
    <s v="Sales Executive"/>
    <x v="3"/>
    <s v="Married"/>
    <x v="1211"/>
    <n v="8277"/>
    <n v="2"/>
    <x v="0"/>
    <x v="1"/>
    <n v="14"/>
    <n v="3"/>
    <n v="4"/>
    <n v="80"/>
    <n v="2"/>
    <n v="9"/>
    <n v="3"/>
    <n v="3"/>
    <n v="3"/>
    <n v="2"/>
    <n v="2"/>
    <n v="2"/>
  </r>
  <r>
    <x v="14"/>
    <x v="1"/>
    <x v="0"/>
    <x v="94"/>
    <x v="1"/>
    <n v="1"/>
    <n v="3"/>
    <s v="Medical"/>
    <x v="0"/>
    <n v="1834"/>
    <x v="1"/>
    <x v="0"/>
    <n v="67"/>
    <n v="3"/>
    <n v="1"/>
    <s v="Research Scientist"/>
    <x v="3"/>
    <s v="Married"/>
    <x v="1212"/>
    <n v="12719"/>
    <n v="1"/>
    <x v="0"/>
    <x v="1"/>
    <n v="25"/>
    <n v="4"/>
    <n v="3"/>
    <n v="80"/>
    <n v="1"/>
    <n v="3"/>
    <n v="3"/>
    <n v="3"/>
    <n v="3"/>
    <n v="2"/>
    <n v="1"/>
    <n v="2"/>
  </r>
  <r>
    <x v="8"/>
    <x v="1"/>
    <x v="0"/>
    <x v="287"/>
    <x v="0"/>
    <n v="2"/>
    <n v="4"/>
    <s v="Marketing"/>
    <x v="0"/>
    <n v="1835"/>
    <x v="0"/>
    <x v="0"/>
    <n v="77"/>
    <n v="1"/>
    <n v="2"/>
    <s v="Sales Representative"/>
    <x v="0"/>
    <s v="Married"/>
    <x v="517"/>
    <n v="4244"/>
    <n v="2"/>
    <x v="0"/>
    <x v="0"/>
    <n v="20"/>
    <n v="4"/>
    <n v="1"/>
    <n v="80"/>
    <n v="2"/>
    <n v="20"/>
    <n v="4"/>
    <n v="2"/>
    <n v="4"/>
    <n v="2"/>
    <n v="0"/>
    <n v="3"/>
  </r>
  <r>
    <x v="25"/>
    <x v="1"/>
    <x v="0"/>
    <x v="833"/>
    <x v="0"/>
    <n v="10"/>
    <n v="3"/>
    <s v="Medical"/>
    <x v="0"/>
    <n v="1836"/>
    <x v="1"/>
    <x v="1"/>
    <n v="46"/>
    <n v="3"/>
    <n v="2"/>
    <s v="Sales Executive"/>
    <x v="0"/>
    <s v="Single"/>
    <x v="1213"/>
    <n v="9125"/>
    <n v="1"/>
    <x v="0"/>
    <x v="1"/>
    <n v="13"/>
    <n v="3"/>
    <n v="1"/>
    <n v="80"/>
    <n v="0"/>
    <n v="5"/>
    <n v="4"/>
    <n v="3"/>
    <n v="5"/>
    <n v="3"/>
    <n v="1"/>
    <n v="2"/>
  </r>
  <r>
    <x v="34"/>
    <x v="1"/>
    <x v="1"/>
    <x v="414"/>
    <x v="1"/>
    <n v="15"/>
    <n v="4"/>
    <s v="Life Sciences"/>
    <x v="0"/>
    <n v="1837"/>
    <x v="3"/>
    <x v="1"/>
    <n v="87"/>
    <n v="3"/>
    <n v="4"/>
    <s v="Research Director"/>
    <x v="2"/>
    <s v="Married"/>
    <x v="1214"/>
    <n v="21624"/>
    <n v="2"/>
    <x v="0"/>
    <x v="0"/>
    <n v="14"/>
    <n v="3"/>
    <n v="2"/>
    <n v="80"/>
    <n v="0"/>
    <n v="23"/>
    <n v="3"/>
    <n v="3"/>
    <n v="2"/>
    <n v="2"/>
    <n v="2"/>
    <n v="2"/>
  </r>
  <r>
    <x v="41"/>
    <x v="1"/>
    <x v="2"/>
    <x v="217"/>
    <x v="1"/>
    <n v="14"/>
    <n v="3"/>
    <s v="Medical"/>
    <x v="0"/>
    <n v="1839"/>
    <x v="0"/>
    <x v="0"/>
    <n v="33"/>
    <n v="3"/>
    <n v="1"/>
    <s v="Research Scientist"/>
    <x v="2"/>
    <s v="Single"/>
    <x v="1215"/>
    <n v="8018"/>
    <n v="1"/>
    <x v="0"/>
    <x v="1"/>
    <n v="16"/>
    <n v="3"/>
    <n v="3"/>
    <n v="80"/>
    <n v="0"/>
    <n v="0"/>
    <n v="4"/>
    <n v="1"/>
    <n v="0"/>
    <n v="0"/>
    <n v="0"/>
    <n v="0"/>
  </r>
  <r>
    <x v="12"/>
    <x v="0"/>
    <x v="0"/>
    <x v="717"/>
    <x v="2"/>
    <n v="18"/>
    <n v="5"/>
    <s v="Human Resources"/>
    <x v="0"/>
    <n v="1842"/>
    <x v="2"/>
    <x v="1"/>
    <n v="89"/>
    <n v="4"/>
    <n v="1"/>
    <s v="Human Resources"/>
    <x v="3"/>
    <s v="Married"/>
    <x v="98"/>
    <n v="21495"/>
    <n v="0"/>
    <x v="0"/>
    <x v="1"/>
    <n v="17"/>
    <n v="3"/>
    <n v="3"/>
    <n v="80"/>
    <n v="0"/>
    <n v="2"/>
    <n v="4"/>
    <n v="3"/>
    <n v="1"/>
    <n v="0"/>
    <n v="0"/>
    <n v="0"/>
  </r>
  <r>
    <x v="11"/>
    <x v="0"/>
    <x v="0"/>
    <x v="323"/>
    <x v="2"/>
    <n v="13"/>
    <n v="3"/>
    <s v="Human Resources"/>
    <x v="0"/>
    <n v="1844"/>
    <x v="3"/>
    <x v="1"/>
    <n v="56"/>
    <n v="2"/>
    <n v="1"/>
    <s v="Human Resources"/>
    <x v="3"/>
    <s v="Divorced"/>
    <x v="1216"/>
    <n v="3157"/>
    <n v="4"/>
    <x v="0"/>
    <x v="0"/>
    <n v="15"/>
    <n v="3"/>
    <n v="4"/>
    <n v="80"/>
    <n v="3"/>
    <n v="4"/>
    <n v="3"/>
    <n v="3"/>
    <n v="2"/>
    <n v="2"/>
    <n v="2"/>
    <n v="0"/>
  </r>
  <r>
    <x v="28"/>
    <x v="1"/>
    <x v="2"/>
    <x v="490"/>
    <x v="0"/>
    <n v="2"/>
    <n v="4"/>
    <s v="Life Sciences"/>
    <x v="0"/>
    <n v="1845"/>
    <x v="1"/>
    <x v="0"/>
    <n v="67"/>
    <n v="3"/>
    <n v="2"/>
    <s v="Sales Executive"/>
    <x v="2"/>
    <s v="Married"/>
    <x v="1217"/>
    <n v="19665"/>
    <n v="4"/>
    <x v="0"/>
    <x v="1"/>
    <n v="22"/>
    <n v="4"/>
    <n v="2"/>
    <n v="80"/>
    <n v="2"/>
    <n v="10"/>
    <n v="3"/>
    <n v="4"/>
    <n v="8"/>
    <n v="7"/>
    <n v="5"/>
    <n v="7"/>
  </r>
  <r>
    <x v="9"/>
    <x v="1"/>
    <x v="0"/>
    <x v="454"/>
    <x v="1"/>
    <n v="2"/>
    <n v="4"/>
    <s v="Other"/>
    <x v="0"/>
    <n v="1847"/>
    <x v="2"/>
    <x v="0"/>
    <n v="73"/>
    <n v="3"/>
    <n v="2"/>
    <s v="Research Scientist"/>
    <x v="1"/>
    <s v="Married"/>
    <x v="1218"/>
    <n v="19573"/>
    <n v="4"/>
    <x v="0"/>
    <x v="0"/>
    <n v="22"/>
    <n v="4"/>
    <n v="4"/>
    <n v="80"/>
    <n v="1"/>
    <n v="15"/>
    <n v="2"/>
    <n v="3"/>
    <n v="1"/>
    <n v="0"/>
    <n v="0"/>
    <n v="0"/>
  </r>
  <r>
    <x v="23"/>
    <x v="1"/>
    <x v="1"/>
    <x v="834"/>
    <x v="0"/>
    <n v="2"/>
    <n v="4"/>
    <s v="Life Sciences"/>
    <x v="0"/>
    <n v="1849"/>
    <x v="3"/>
    <x v="1"/>
    <n v="92"/>
    <n v="3"/>
    <n v="2"/>
    <s v="Sales Executive"/>
    <x v="0"/>
    <s v="Married"/>
    <x v="1219"/>
    <n v="19246"/>
    <n v="1"/>
    <x v="0"/>
    <x v="1"/>
    <n v="20"/>
    <n v="4"/>
    <n v="3"/>
    <n v="80"/>
    <n v="1"/>
    <n v="7"/>
    <n v="5"/>
    <n v="3"/>
    <n v="7"/>
    <n v="7"/>
    <n v="7"/>
    <n v="7"/>
  </r>
  <r>
    <x v="4"/>
    <x v="1"/>
    <x v="1"/>
    <x v="835"/>
    <x v="1"/>
    <n v="5"/>
    <n v="2"/>
    <s v="Life Sciences"/>
    <x v="0"/>
    <n v="1850"/>
    <x v="2"/>
    <x v="0"/>
    <n v="53"/>
    <n v="3"/>
    <n v="1"/>
    <s v="Laboratory Technician"/>
    <x v="0"/>
    <s v="Single"/>
    <x v="1220"/>
    <n v="19826"/>
    <n v="0"/>
    <x v="0"/>
    <x v="0"/>
    <n v="14"/>
    <n v="3"/>
    <n v="3"/>
    <n v="80"/>
    <n v="0"/>
    <n v="6"/>
    <n v="3"/>
    <n v="2"/>
    <n v="5"/>
    <n v="4"/>
    <n v="0"/>
    <n v="2"/>
  </r>
  <r>
    <x v="11"/>
    <x v="1"/>
    <x v="1"/>
    <x v="836"/>
    <x v="1"/>
    <n v="20"/>
    <n v="1"/>
    <s v="Medical"/>
    <x v="0"/>
    <n v="1852"/>
    <x v="2"/>
    <x v="1"/>
    <n v="40"/>
    <n v="3"/>
    <n v="1"/>
    <s v="Laboratory Technician"/>
    <x v="0"/>
    <s v="Married"/>
    <x v="1221"/>
    <n v="7003"/>
    <n v="1"/>
    <x v="0"/>
    <x v="1"/>
    <n v="13"/>
    <n v="3"/>
    <n v="2"/>
    <n v="80"/>
    <n v="0"/>
    <n v="11"/>
    <n v="3"/>
    <n v="4"/>
    <n v="11"/>
    <n v="8"/>
    <n v="3"/>
    <n v="10"/>
  </r>
  <r>
    <x v="5"/>
    <x v="1"/>
    <x v="1"/>
    <x v="493"/>
    <x v="0"/>
    <n v="10"/>
    <n v="4"/>
    <s v="Marketing"/>
    <x v="0"/>
    <n v="1853"/>
    <x v="2"/>
    <x v="1"/>
    <n v="79"/>
    <n v="3"/>
    <n v="2"/>
    <s v="Sales Executive"/>
    <x v="0"/>
    <s v="Single"/>
    <x v="1222"/>
    <n v="26075"/>
    <n v="8"/>
    <x v="0"/>
    <x v="1"/>
    <n v="13"/>
    <n v="3"/>
    <n v="3"/>
    <n v="80"/>
    <n v="0"/>
    <n v="4"/>
    <n v="2"/>
    <n v="4"/>
    <n v="0"/>
    <n v="0"/>
    <n v="0"/>
    <n v="0"/>
  </r>
  <r>
    <x v="19"/>
    <x v="1"/>
    <x v="2"/>
    <x v="837"/>
    <x v="1"/>
    <n v="10"/>
    <n v="4"/>
    <s v="Technical Degree"/>
    <x v="0"/>
    <n v="1854"/>
    <x v="1"/>
    <x v="1"/>
    <n v="38"/>
    <n v="3"/>
    <n v="1"/>
    <s v="Research Scientist"/>
    <x v="2"/>
    <s v="Married"/>
    <x v="808"/>
    <n v="6161"/>
    <n v="3"/>
    <x v="0"/>
    <x v="1"/>
    <n v="22"/>
    <n v="4"/>
    <n v="2"/>
    <n v="80"/>
    <n v="2"/>
    <n v="10"/>
    <n v="1"/>
    <n v="2"/>
    <n v="6"/>
    <n v="3"/>
    <n v="3"/>
    <n v="3"/>
  </r>
  <r>
    <x v="40"/>
    <x v="1"/>
    <x v="0"/>
    <x v="838"/>
    <x v="1"/>
    <n v="9"/>
    <n v="4"/>
    <s v="Life Sciences"/>
    <x v="0"/>
    <n v="1856"/>
    <x v="0"/>
    <x v="0"/>
    <n v="64"/>
    <n v="3"/>
    <n v="1"/>
    <s v="Laboratory Technician"/>
    <x v="2"/>
    <s v="Single"/>
    <x v="1223"/>
    <n v="5411"/>
    <n v="4"/>
    <x v="0"/>
    <x v="1"/>
    <n v="12"/>
    <n v="3"/>
    <n v="3"/>
    <n v="80"/>
    <n v="0"/>
    <n v="7"/>
    <n v="2"/>
    <n v="3"/>
    <n v="2"/>
    <n v="2"/>
    <n v="2"/>
    <n v="0"/>
  </r>
  <r>
    <x v="21"/>
    <x v="1"/>
    <x v="0"/>
    <x v="839"/>
    <x v="1"/>
    <n v="2"/>
    <n v="2"/>
    <s v="Life Sciences"/>
    <x v="0"/>
    <n v="1857"/>
    <x v="2"/>
    <x v="1"/>
    <n v="82"/>
    <n v="3"/>
    <n v="3"/>
    <s v="Manufacturing Director"/>
    <x v="0"/>
    <s v="Divorced"/>
    <x v="1224"/>
    <n v="19989"/>
    <n v="3"/>
    <x v="0"/>
    <x v="1"/>
    <n v="14"/>
    <n v="3"/>
    <n v="3"/>
    <n v="80"/>
    <n v="1"/>
    <n v="12"/>
    <n v="4"/>
    <n v="2"/>
    <n v="9"/>
    <n v="8"/>
    <n v="4"/>
    <n v="7"/>
  </r>
  <r>
    <x v="14"/>
    <x v="1"/>
    <x v="2"/>
    <x v="840"/>
    <x v="2"/>
    <n v="1"/>
    <n v="2"/>
    <s v="Life Sciences"/>
    <x v="0"/>
    <n v="1858"/>
    <x v="1"/>
    <x v="1"/>
    <n v="43"/>
    <n v="3"/>
    <n v="1"/>
    <s v="Human Resources"/>
    <x v="0"/>
    <s v="Divorced"/>
    <x v="1225"/>
    <n v="10494"/>
    <n v="1"/>
    <x v="0"/>
    <x v="1"/>
    <n v="15"/>
    <n v="3"/>
    <n v="2"/>
    <n v="80"/>
    <n v="1"/>
    <n v="3"/>
    <n v="2"/>
    <n v="3"/>
    <n v="3"/>
    <n v="2"/>
    <n v="2"/>
    <n v="2"/>
  </r>
  <r>
    <x v="11"/>
    <x v="1"/>
    <x v="0"/>
    <x v="841"/>
    <x v="1"/>
    <n v="29"/>
    <n v="1"/>
    <s v="Life Sciences"/>
    <x v="0"/>
    <n v="1859"/>
    <x v="2"/>
    <x v="1"/>
    <n v="93"/>
    <n v="1"/>
    <n v="2"/>
    <s v="Healthcare Representative"/>
    <x v="2"/>
    <s v="Divorced"/>
    <x v="1226"/>
    <n v="21143"/>
    <n v="8"/>
    <x v="0"/>
    <x v="1"/>
    <n v="17"/>
    <n v="3"/>
    <n v="4"/>
    <n v="80"/>
    <n v="2"/>
    <n v="11"/>
    <n v="3"/>
    <n v="3"/>
    <n v="7"/>
    <n v="0"/>
    <n v="1"/>
    <n v="6"/>
  </r>
  <r>
    <x v="19"/>
    <x v="1"/>
    <x v="0"/>
    <x v="57"/>
    <x v="1"/>
    <n v="8"/>
    <n v="3"/>
    <s v="Life Sciences"/>
    <x v="0"/>
    <n v="1860"/>
    <x v="2"/>
    <x v="1"/>
    <n v="81"/>
    <n v="3"/>
    <n v="1"/>
    <s v="Laboratory Technician"/>
    <x v="2"/>
    <s v="Single"/>
    <x v="1227"/>
    <n v="13624"/>
    <n v="4"/>
    <x v="0"/>
    <x v="1"/>
    <n v="13"/>
    <n v="3"/>
    <n v="4"/>
    <n v="80"/>
    <n v="0"/>
    <n v="8"/>
    <n v="3"/>
    <n v="3"/>
    <n v="0"/>
    <n v="0"/>
    <n v="0"/>
    <n v="0"/>
  </r>
  <r>
    <x v="5"/>
    <x v="0"/>
    <x v="0"/>
    <x v="842"/>
    <x v="0"/>
    <n v="2"/>
    <n v="4"/>
    <s v="Marketing"/>
    <x v="0"/>
    <n v="1862"/>
    <x v="1"/>
    <x v="1"/>
    <n v="82"/>
    <n v="2"/>
    <n v="2"/>
    <s v="Sales Executive"/>
    <x v="1"/>
    <s v="Single"/>
    <x v="1228"/>
    <n v="26186"/>
    <n v="7"/>
    <x v="0"/>
    <x v="0"/>
    <n v="12"/>
    <n v="3"/>
    <n v="3"/>
    <n v="80"/>
    <n v="0"/>
    <n v="7"/>
    <n v="3"/>
    <n v="2"/>
    <n v="2"/>
    <n v="2"/>
    <n v="2"/>
    <n v="2"/>
  </r>
  <r>
    <x v="21"/>
    <x v="1"/>
    <x v="0"/>
    <x v="316"/>
    <x v="0"/>
    <n v="3"/>
    <n v="3"/>
    <s v="Technical Degree"/>
    <x v="0"/>
    <n v="1863"/>
    <x v="3"/>
    <x v="0"/>
    <n v="45"/>
    <n v="4"/>
    <n v="4"/>
    <s v="Sales Executive"/>
    <x v="3"/>
    <s v="Divorced"/>
    <x v="1229"/>
    <n v="7739"/>
    <n v="2"/>
    <x v="0"/>
    <x v="1"/>
    <n v="12"/>
    <n v="3"/>
    <n v="4"/>
    <n v="80"/>
    <n v="1"/>
    <n v="25"/>
    <n v="5"/>
    <n v="3"/>
    <n v="19"/>
    <n v="17"/>
    <n v="2"/>
    <n v="8"/>
  </r>
  <r>
    <x v="4"/>
    <x v="1"/>
    <x v="0"/>
    <x v="249"/>
    <x v="0"/>
    <n v="23"/>
    <n v="1"/>
    <s v="Medical"/>
    <x v="0"/>
    <n v="1864"/>
    <x v="0"/>
    <x v="0"/>
    <n v="36"/>
    <n v="2"/>
    <n v="2"/>
    <s v="Sales Representative"/>
    <x v="2"/>
    <s v="Married"/>
    <x v="1230"/>
    <n v="7018"/>
    <n v="1"/>
    <x v="0"/>
    <x v="1"/>
    <n v="21"/>
    <n v="4"/>
    <n v="4"/>
    <n v="80"/>
    <n v="1"/>
    <n v="9"/>
    <n v="5"/>
    <n v="3"/>
    <n v="9"/>
    <n v="8"/>
    <n v="5"/>
    <n v="8"/>
  </r>
  <r>
    <x v="11"/>
    <x v="1"/>
    <x v="0"/>
    <x v="843"/>
    <x v="2"/>
    <n v="6"/>
    <n v="1"/>
    <s v="Medical"/>
    <x v="0"/>
    <n v="1865"/>
    <x v="2"/>
    <x v="1"/>
    <n v="87"/>
    <n v="2"/>
    <n v="1"/>
    <s v="Human Resources"/>
    <x v="1"/>
    <s v="Married"/>
    <x v="1231"/>
    <n v="15434"/>
    <n v="1"/>
    <x v="0"/>
    <x v="1"/>
    <n v="11"/>
    <n v="3"/>
    <n v="4"/>
    <n v="80"/>
    <n v="0"/>
    <n v="1"/>
    <n v="3"/>
    <n v="3"/>
    <n v="1"/>
    <n v="0"/>
    <n v="0"/>
    <n v="0"/>
  </r>
  <r>
    <x v="23"/>
    <x v="1"/>
    <x v="0"/>
    <x v="397"/>
    <x v="1"/>
    <n v="6"/>
    <n v="3"/>
    <s v="Medical"/>
    <x v="0"/>
    <n v="1866"/>
    <x v="3"/>
    <x v="0"/>
    <n v="81"/>
    <n v="2"/>
    <n v="5"/>
    <s v="Manager"/>
    <x v="2"/>
    <s v="Married"/>
    <x v="1232"/>
    <n v="22539"/>
    <n v="7"/>
    <x v="0"/>
    <x v="1"/>
    <n v="13"/>
    <n v="3"/>
    <n v="4"/>
    <n v="80"/>
    <n v="0"/>
    <n v="21"/>
    <n v="2"/>
    <n v="3"/>
    <n v="16"/>
    <n v="12"/>
    <n v="6"/>
    <n v="14"/>
  </r>
  <r>
    <x v="26"/>
    <x v="1"/>
    <x v="0"/>
    <x v="844"/>
    <x v="1"/>
    <n v="10"/>
    <n v="3"/>
    <s v="Life Sciences"/>
    <x v="0"/>
    <n v="1867"/>
    <x v="2"/>
    <x v="1"/>
    <n v="91"/>
    <n v="2"/>
    <n v="5"/>
    <s v="Research Director"/>
    <x v="1"/>
    <s v="Married"/>
    <x v="1233"/>
    <n v="13583"/>
    <n v="4"/>
    <x v="0"/>
    <x v="1"/>
    <n v="12"/>
    <n v="3"/>
    <n v="4"/>
    <n v="80"/>
    <n v="0"/>
    <n v="29"/>
    <n v="3"/>
    <n v="3"/>
    <n v="22"/>
    <n v="10"/>
    <n v="12"/>
    <n v="9"/>
  </r>
  <r>
    <x v="11"/>
    <x v="0"/>
    <x v="1"/>
    <x v="845"/>
    <x v="1"/>
    <n v="24"/>
    <n v="2"/>
    <s v="Life Sciences"/>
    <x v="0"/>
    <n v="1868"/>
    <x v="2"/>
    <x v="1"/>
    <n v="73"/>
    <n v="2"/>
    <n v="1"/>
    <s v="Research Scientist"/>
    <x v="0"/>
    <s v="Single"/>
    <x v="1234"/>
    <n v="14753"/>
    <n v="1"/>
    <x v="0"/>
    <x v="0"/>
    <n v="24"/>
    <n v="4"/>
    <n v="2"/>
    <n v="80"/>
    <n v="0"/>
    <n v="1"/>
    <n v="3"/>
    <n v="2"/>
    <n v="1"/>
    <n v="0"/>
    <n v="1"/>
    <n v="0"/>
  </r>
  <r>
    <x v="21"/>
    <x v="0"/>
    <x v="0"/>
    <x v="846"/>
    <x v="0"/>
    <n v="10"/>
    <n v="3"/>
    <s v="Life Sciences"/>
    <x v="0"/>
    <n v="1869"/>
    <x v="1"/>
    <x v="0"/>
    <n v="64"/>
    <n v="3"/>
    <n v="3"/>
    <s v="Sales Executive"/>
    <x v="1"/>
    <s v="Married"/>
    <x v="1235"/>
    <n v="14011"/>
    <n v="5"/>
    <x v="0"/>
    <x v="1"/>
    <n v="21"/>
    <n v="4"/>
    <n v="3"/>
    <n v="80"/>
    <n v="3"/>
    <n v="14"/>
    <n v="2"/>
    <n v="3"/>
    <n v="8"/>
    <n v="7"/>
    <n v="0"/>
    <n v="7"/>
  </r>
  <r>
    <x v="4"/>
    <x v="1"/>
    <x v="1"/>
    <x v="847"/>
    <x v="1"/>
    <n v="15"/>
    <n v="3"/>
    <s v="Life Sciences"/>
    <x v="0"/>
    <n v="1870"/>
    <x v="2"/>
    <x v="0"/>
    <n v="77"/>
    <n v="2"/>
    <n v="1"/>
    <s v="Research Scientist"/>
    <x v="3"/>
    <s v="Married"/>
    <x v="1236"/>
    <n v="23844"/>
    <n v="0"/>
    <x v="0"/>
    <x v="1"/>
    <n v="19"/>
    <n v="3"/>
    <n v="4"/>
    <n v="80"/>
    <n v="1"/>
    <n v="8"/>
    <n v="2"/>
    <n v="2"/>
    <n v="7"/>
    <n v="6"/>
    <n v="7"/>
    <n v="3"/>
  </r>
  <r>
    <x v="22"/>
    <x v="1"/>
    <x v="0"/>
    <x v="848"/>
    <x v="1"/>
    <n v="19"/>
    <n v="4"/>
    <s v="Other"/>
    <x v="0"/>
    <n v="1871"/>
    <x v="2"/>
    <x v="1"/>
    <n v="41"/>
    <n v="3"/>
    <n v="2"/>
    <s v="Research Scientist"/>
    <x v="0"/>
    <s v="Divorced"/>
    <x v="1237"/>
    <n v="5141"/>
    <n v="8"/>
    <x v="0"/>
    <x v="1"/>
    <n v="14"/>
    <n v="3"/>
    <n v="2"/>
    <n v="80"/>
    <n v="3"/>
    <n v="7"/>
    <n v="2"/>
    <n v="3"/>
    <n v="2"/>
    <n v="2"/>
    <n v="2"/>
    <n v="2"/>
  </r>
  <r>
    <x v="27"/>
    <x v="1"/>
    <x v="0"/>
    <x v="65"/>
    <x v="1"/>
    <n v="2"/>
    <n v="4"/>
    <s v="Technical Degree"/>
    <x v="0"/>
    <n v="1873"/>
    <x v="0"/>
    <x v="1"/>
    <n v="98"/>
    <n v="2"/>
    <n v="1"/>
    <s v="Research Scientist"/>
    <x v="0"/>
    <s v="Married"/>
    <x v="1238"/>
    <n v="7975"/>
    <n v="8"/>
    <x v="0"/>
    <x v="1"/>
    <n v="20"/>
    <n v="4"/>
    <n v="2"/>
    <n v="80"/>
    <n v="1"/>
    <n v="19"/>
    <n v="2"/>
    <n v="4"/>
    <n v="5"/>
    <n v="2"/>
    <n v="0"/>
    <n v="4"/>
  </r>
  <r>
    <x v="14"/>
    <x v="1"/>
    <x v="0"/>
    <x v="849"/>
    <x v="0"/>
    <n v="3"/>
    <n v="3"/>
    <s v="Medical"/>
    <x v="0"/>
    <n v="1875"/>
    <x v="0"/>
    <x v="0"/>
    <n v="78"/>
    <n v="3"/>
    <n v="1"/>
    <s v="Sales Representative"/>
    <x v="1"/>
    <s v="Married"/>
    <x v="1239"/>
    <n v="3692"/>
    <n v="1"/>
    <x v="0"/>
    <x v="1"/>
    <n v="19"/>
    <n v="3"/>
    <n v="4"/>
    <n v="80"/>
    <n v="1"/>
    <n v="1"/>
    <n v="3"/>
    <n v="3"/>
    <n v="1"/>
    <n v="0"/>
    <n v="0"/>
    <n v="0"/>
  </r>
  <r>
    <x v="7"/>
    <x v="0"/>
    <x v="0"/>
    <x v="79"/>
    <x v="0"/>
    <n v="9"/>
    <n v="3"/>
    <s v="Medical"/>
    <x v="0"/>
    <n v="1876"/>
    <x v="0"/>
    <x v="1"/>
    <n v="89"/>
    <n v="3"/>
    <n v="1"/>
    <s v="Sales Representative"/>
    <x v="0"/>
    <s v="Single"/>
    <x v="1240"/>
    <n v="16019"/>
    <n v="1"/>
    <x v="0"/>
    <x v="1"/>
    <n v="13"/>
    <n v="3"/>
    <n v="3"/>
    <n v="80"/>
    <n v="0"/>
    <n v="1"/>
    <n v="3"/>
    <n v="2"/>
    <n v="1"/>
    <n v="0"/>
    <n v="0"/>
    <n v="0"/>
  </r>
  <r>
    <x v="15"/>
    <x v="0"/>
    <x v="0"/>
    <x v="23"/>
    <x v="1"/>
    <n v="7"/>
    <n v="1"/>
    <s v="Life Sciences"/>
    <x v="0"/>
    <n v="1878"/>
    <x v="2"/>
    <x v="1"/>
    <n v="75"/>
    <n v="3"/>
    <n v="1"/>
    <s v="Research Scientist"/>
    <x v="1"/>
    <s v="Single"/>
    <x v="1241"/>
    <n v="26092"/>
    <n v="1"/>
    <x v="0"/>
    <x v="0"/>
    <n v="23"/>
    <n v="4"/>
    <n v="1"/>
    <n v="80"/>
    <n v="0"/>
    <n v="1"/>
    <n v="2"/>
    <n v="3"/>
    <n v="1"/>
    <n v="0"/>
    <n v="0"/>
    <n v="0"/>
  </r>
  <r>
    <x v="9"/>
    <x v="1"/>
    <x v="0"/>
    <x v="850"/>
    <x v="0"/>
    <n v="10"/>
    <n v="4"/>
    <s v="Technical Degree"/>
    <x v="0"/>
    <n v="1880"/>
    <x v="0"/>
    <x v="0"/>
    <n v="63"/>
    <n v="2"/>
    <n v="2"/>
    <s v="Sales Executive"/>
    <x v="2"/>
    <s v="Married"/>
    <x v="1242"/>
    <n v="6060"/>
    <n v="1"/>
    <x v="0"/>
    <x v="0"/>
    <n v="13"/>
    <n v="3"/>
    <n v="1"/>
    <n v="80"/>
    <n v="1"/>
    <n v="10"/>
    <n v="4"/>
    <n v="3"/>
    <n v="10"/>
    <n v="9"/>
    <n v="1"/>
    <n v="7"/>
  </r>
  <r>
    <x v="12"/>
    <x v="1"/>
    <x v="0"/>
    <x v="783"/>
    <x v="1"/>
    <n v="20"/>
    <n v="3"/>
    <s v="Life Sciences"/>
    <x v="0"/>
    <n v="1881"/>
    <x v="0"/>
    <x v="1"/>
    <n v="89"/>
    <n v="3"/>
    <n v="2"/>
    <s v="Laboratory Technician"/>
    <x v="2"/>
    <s v="Divorced"/>
    <x v="378"/>
    <n v="18624"/>
    <n v="1"/>
    <x v="0"/>
    <x v="1"/>
    <n v="11"/>
    <n v="3"/>
    <n v="1"/>
    <n v="80"/>
    <n v="1"/>
    <n v="10"/>
    <n v="2"/>
    <n v="3"/>
    <n v="10"/>
    <n v="8"/>
    <n v="0"/>
    <n v="2"/>
  </r>
  <r>
    <x v="13"/>
    <x v="1"/>
    <x v="0"/>
    <x v="163"/>
    <x v="0"/>
    <n v="4"/>
    <n v="3"/>
    <s v="Life Sciences"/>
    <x v="0"/>
    <n v="1882"/>
    <x v="1"/>
    <x v="1"/>
    <n v="64"/>
    <n v="3"/>
    <n v="3"/>
    <s v="Sales Executive"/>
    <x v="0"/>
    <s v="Married"/>
    <x v="1243"/>
    <n v="24444"/>
    <n v="2"/>
    <x v="0"/>
    <x v="0"/>
    <n v="13"/>
    <n v="3"/>
    <n v="4"/>
    <n v="80"/>
    <n v="3"/>
    <n v="9"/>
    <n v="3"/>
    <n v="3"/>
    <n v="5"/>
    <n v="3"/>
    <n v="1"/>
    <n v="0"/>
  </r>
  <r>
    <x v="11"/>
    <x v="1"/>
    <x v="0"/>
    <x v="720"/>
    <x v="1"/>
    <n v="7"/>
    <n v="3"/>
    <s v="Life Sciences"/>
    <x v="0"/>
    <n v="1883"/>
    <x v="2"/>
    <x v="1"/>
    <n v="59"/>
    <n v="3"/>
    <n v="1"/>
    <s v="Laboratory Technician"/>
    <x v="3"/>
    <s v="Single"/>
    <x v="1244"/>
    <n v="19384"/>
    <n v="3"/>
    <x v="0"/>
    <x v="1"/>
    <n v="14"/>
    <n v="3"/>
    <n v="2"/>
    <n v="80"/>
    <n v="0"/>
    <n v="11"/>
    <n v="2"/>
    <n v="3"/>
    <n v="3"/>
    <n v="2"/>
    <n v="1"/>
    <n v="2"/>
  </r>
  <r>
    <x v="2"/>
    <x v="1"/>
    <x v="0"/>
    <x v="851"/>
    <x v="1"/>
    <n v="7"/>
    <n v="4"/>
    <s v="Medical"/>
    <x v="0"/>
    <n v="1885"/>
    <x v="2"/>
    <x v="1"/>
    <n v="78"/>
    <n v="3"/>
    <n v="2"/>
    <s v="Research Scientist"/>
    <x v="3"/>
    <s v="Married"/>
    <x v="948"/>
    <n v="13588"/>
    <n v="5"/>
    <x v="0"/>
    <x v="0"/>
    <n v="22"/>
    <n v="4"/>
    <n v="3"/>
    <n v="80"/>
    <n v="1"/>
    <n v="16"/>
    <n v="2"/>
    <n v="3"/>
    <n v="5"/>
    <n v="3"/>
    <n v="0"/>
    <n v="4"/>
  </r>
  <r>
    <x v="10"/>
    <x v="1"/>
    <x v="0"/>
    <x v="852"/>
    <x v="1"/>
    <n v="16"/>
    <n v="2"/>
    <s v="Other"/>
    <x v="0"/>
    <n v="1886"/>
    <x v="2"/>
    <x v="0"/>
    <n v="44"/>
    <n v="2"/>
    <n v="2"/>
    <s v="Manufacturing Director"/>
    <x v="1"/>
    <s v="Married"/>
    <x v="1245"/>
    <n v="25388"/>
    <n v="0"/>
    <x v="0"/>
    <x v="0"/>
    <n v="11"/>
    <n v="3"/>
    <n v="4"/>
    <n v="80"/>
    <n v="0"/>
    <n v="4"/>
    <n v="2"/>
    <n v="3"/>
    <n v="3"/>
    <n v="2"/>
    <n v="0"/>
    <n v="2"/>
  </r>
  <r>
    <x v="28"/>
    <x v="1"/>
    <x v="0"/>
    <x v="179"/>
    <x v="1"/>
    <n v="25"/>
    <n v="2"/>
    <s v="Life Sciences"/>
    <x v="0"/>
    <n v="1888"/>
    <x v="0"/>
    <x v="0"/>
    <n v="93"/>
    <n v="2"/>
    <n v="2"/>
    <s v="Manufacturing Director"/>
    <x v="0"/>
    <s v="Married"/>
    <x v="1246"/>
    <n v="23888"/>
    <n v="0"/>
    <x v="0"/>
    <x v="1"/>
    <n v="13"/>
    <n v="3"/>
    <n v="4"/>
    <n v="80"/>
    <n v="2"/>
    <n v="10"/>
    <n v="2"/>
    <n v="2"/>
    <n v="9"/>
    <n v="8"/>
    <n v="3"/>
    <n v="8"/>
  </r>
  <r>
    <x v="9"/>
    <x v="1"/>
    <x v="1"/>
    <x v="853"/>
    <x v="2"/>
    <n v="2"/>
    <n v="1"/>
    <s v="Human Resources"/>
    <x v="0"/>
    <n v="1890"/>
    <x v="0"/>
    <x v="1"/>
    <n v="94"/>
    <n v="2"/>
    <n v="2"/>
    <s v="Human Resources"/>
    <x v="0"/>
    <s v="Single"/>
    <x v="1247"/>
    <n v="4223"/>
    <n v="1"/>
    <x v="0"/>
    <x v="1"/>
    <n v="21"/>
    <n v="4"/>
    <n v="4"/>
    <n v="80"/>
    <n v="0"/>
    <n v="10"/>
    <n v="2"/>
    <n v="2"/>
    <n v="10"/>
    <n v="1"/>
    <n v="0"/>
    <n v="8"/>
  </r>
  <r>
    <x v="32"/>
    <x v="1"/>
    <x v="0"/>
    <x v="538"/>
    <x v="1"/>
    <n v="1"/>
    <n v="4"/>
    <s v="Life Sciences"/>
    <x v="0"/>
    <n v="1892"/>
    <x v="3"/>
    <x v="1"/>
    <n v="98"/>
    <n v="3"/>
    <n v="4"/>
    <s v="Manager"/>
    <x v="3"/>
    <s v="Divorced"/>
    <x v="1248"/>
    <n v="18991"/>
    <n v="2"/>
    <x v="0"/>
    <x v="1"/>
    <n v="11"/>
    <n v="3"/>
    <n v="1"/>
    <n v="80"/>
    <n v="1"/>
    <n v="22"/>
    <n v="3"/>
    <n v="3"/>
    <n v="19"/>
    <n v="7"/>
    <n v="11"/>
    <n v="16"/>
  </r>
  <r>
    <x v="25"/>
    <x v="1"/>
    <x v="0"/>
    <x v="421"/>
    <x v="1"/>
    <n v="1"/>
    <n v="2"/>
    <s v="Life Sciences"/>
    <x v="0"/>
    <n v="1893"/>
    <x v="0"/>
    <x v="0"/>
    <n v="90"/>
    <n v="2"/>
    <n v="1"/>
    <s v="Research Scientist"/>
    <x v="2"/>
    <s v="Married"/>
    <x v="1249"/>
    <n v="14908"/>
    <n v="1"/>
    <x v="0"/>
    <x v="0"/>
    <n v="13"/>
    <n v="3"/>
    <n v="3"/>
    <n v="80"/>
    <n v="1"/>
    <n v="1"/>
    <n v="3"/>
    <n v="2"/>
    <n v="1"/>
    <n v="0"/>
    <n v="1"/>
    <n v="0"/>
  </r>
  <r>
    <x v="4"/>
    <x v="1"/>
    <x v="0"/>
    <x v="820"/>
    <x v="0"/>
    <n v="2"/>
    <n v="2"/>
    <s v="Medical"/>
    <x v="0"/>
    <n v="1898"/>
    <x v="3"/>
    <x v="0"/>
    <n v="89"/>
    <n v="4"/>
    <n v="2"/>
    <s v="Sales Executive"/>
    <x v="2"/>
    <s v="Single"/>
    <x v="559"/>
    <n v="26997"/>
    <n v="0"/>
    <x v="0"/>
    <x v="1"/>
    <n v="14"/>
    <n v="3"/>
    <n v="2"/>
    <n v="80"/>
    <n v="0"/>
    <n v="9"/>
    <n v="5"/>
    <n v="2"/>
    <n v="8"/>
    <n v="7"/>
    <n v="0"/>
    <n v="7"/>
  </r>
  <r>
    <x v="26"/>
    <x v="1"/>
    <x v="1"/>
    <x v="284"/>
    <x v="1"/>
    <n v="22"/>
    <n v="3"/>
    <s v="Medical"/>
    <x v="0"/>
    <n v="1900"/>
    <x v="2"/>
    <x v="0"/>
    <n v="58"/>
    <n v="3"/>
    <n v="4"/>
    <s v="Manager"/>
    <x v="0"/>
    <s v="Divorced"/>
    <x v="1250"/>
    <n v="2437"/>
    <n v="3"/>
    <x v="0"/>
    <x v="1"/>
    <n v="11"/>
    <n v="3"/>
    <n v="2"/>
    <n v="80"/>
    <n v="1"/>
    <n v="24"/>
    <n v="3"/>
    <n v="3"/>
    <n v="22"/>
    <n v="17"/>
    <n v="4"/>
    <n v="7"/>
  </r>
  <r>
    <x v="20"/>
    <x v="1"/>
    <x v="0"/>
    <x v="771"/>
    <x v="1"/>
    <n v="1"/>
    <n v="4"/>
    <s v="Life Sciences"/>
    <x v="0"/>
    <n v="1903"/>
    <x v="0"/>
    <x v="1"/>
    <n v="78"/>
    <n v="4"/>
    <n v="2"/>
    <s v="Healthcare Representative"/>
    <x v="3"/>
    <s v="Married"/>
    <x v="1251"/>
    <n v="9364"/>
    <n v="2"/>
    <x v="0"/>
    <x v="1"/>
    <n v="15"/>
    <n v="3"/>
    <n v="4"/>
    <n v="80"/>
    <n v="1"/>
    <n v="10"/>
    <n v="5"/>
    <n v="3"/>
    <n v="2"/>
    <n v="0"/>
    <n v="2"/>
    <n v="2"/>
  </r>
  <r>
    <x v="13"/>
    <x v="0"/>
    <x v="2"/>
    <x v="149"/>
    <x v="1"/>
    <n v="16"/>
    <n v="4"/>
    <s v="Technical Degree"/>
    <x v="0"/>
    <n v="1905"/>
    <x v="2"/>
    <x v="1"/>
    <n v="85"/>
    <n v="1"/>
    <n v="1"/>
    <s v="Research Scientist"/>
    <x v="3"/>
    <s v="Married"/>
    <x v="1252"/>
    <n v="14460"/>
    <n v="1"/>
    <x v="0"/>
    <x v="0"/>
    <n v="23"/>
    <n v="4"/>
    <n v="2"/>
    <n v="80"/>
    <n v="1"/>
    <n v="5"/>
    <n v="2"/>
    <n v="3"/>
    <n v="5"/>
    <n v="2"/>
    <n v="3"/>
    <n v="0"/>
  </r>
  <r>
    <x v="29"/>
    <x v="0"/>
    <x v="0"/>
    <x v="295"/>
    <x v="1"/>
    <n v="24"/>
    <n v="2"/>
    <s v="Life Sciences"/>
    <x v="0"/>
    <n v="1907"/>
    <x v="3"/>
    <x v="1"/>
    <n v="97"/>
    <n v="3"/>
    <n v="1"/>
    <s v="Laboratory Technician"/>
    <x v="0"/>
    <s v="Single"/>
    <x v="1105"/>
    <n v="10261"/>
    <n v="1"/>
    <x v="0"/>
    <x v="1"/>
    <n v="16"/>
    <n v="3"/>
    <n v="4"/>
    <n v="80"/>
    <n v="0"/>
    <n v="5"/>
    <n v="3"/>
    <n v="3"/>
    <n v="4"/>
    <n v="2"/>
    <n v="1"/>
    <n v="0"/>
  </r>
  <r>
    <x v="9"/>
    <x v="1"/>
    <x v="0"/>
    <x v="557"/>
    <x v="0"/>
    <n v="17"/>
    <n v="2"/>
    <s v="Marketing"/>
    <x v="0"/>
    <n v="1908"/>
    <x v="1"/>
    <x v="1"/>
    <n v="33"/>
    <n v="2"/>
    <n v="2"/>
    <s v="Sales Executive"/>
    <x v="1"/>
    <s v="Married"/>
    <x v="1253"/>
    <n v="16822"/>
    <n v="2"/>
    <x v="0"/>
    <x v="1"/>
    <n v="16"/>
    <n v="3"/>
    <n v="3"/>
    <n v="80"/>
    <n v="2"/>
    <n v="12"/>
    <n v="1"/>
    <n v="1"/>
    <n v="4"/>
    <n v="2"/>
    <n v="1"/>
    <n v="3"/>
  </r>
  <r>
    <x v="0"/>
    <x v="1"/>
    <x v="0"/>
    <x v="709"/>
    <x v="0"/>
    <n v="8"/>
    <n v="3"/>
    <s v="Marketing"/>
    <x v="0"/>
    <n v="1909"/>
    <x v="1"/>
    <x v="0"/>
    <n v="54"/>
    <n v="3"/>
    <n v="2"/>
    <s v="Sales Executive"/>
    <x v="1"/>
    <s v="Married"/>
    <x v="1254"/>
    <n v="26841"/>
    <n v="5"/>
    <x v="0"/>
    <x v="1"/>
    <n v="21"/>
    <n v="4"/>
    <n v="3"/>
    <n v="80"/>
    <n v="1"/>
    <n v="14"/>
    <n v="3"/>
    <n v="3"/>
    <n v="5"/>
    <n v="4"/>
    <n v="1"/>
    <n v="4"/>
  </r>
  <r>
    <x v="19"/>
    <x v="1"/>
    <x v="0"/>
    <x v="203"/>
    <x v="1"/>
    <n v="6"/>
    <n v="3"/>
    <s v="Medical"/>
    <x v="0"/>
    <n v="1911"/>
    <x v="1"/>
    <x v="1"/>
    <n v="83"/>
    <n v="3"/>
    <n v="3"/>
    <s v="Research Director"/>
    <x v="3"/>
    <s v="Married"/>
    <x v="1255"/>
    <n v="14842"/>
    <n v="9"/>
    <x v="0"/>
    <x v="1"/>
    <n v="13"/>
    <n v="3"/>
    <n v="2"/>
    <n v="80"/>
    <n v="1"/>
    <n v="18"/>
    <n v="3"/>
    <n v="4"/>
    <n v="13"/>
    <n v="7"/>
    <n v="5"/>
    <n v="7"/>
  </r>
  <r>
    <x v="12"/>
    <x v="1"/>
    <x v="0"/>
    <x v="813"/>
    <x v="0"/>
    <n v="10"/>
    <n v="2"/>
    <s v="Medical"/>
    <x v="0"/>
    <n v="1912"/>
    <x v="1"/>
    <x v="0"/>
    <n v="86"/>
    <n v="3"/>
    <n v="2"/>
    <s v="Sales Executive"/>
    <x v="0"/>
    <s v="Divorced"/>
    <x v="1256"/>
    <n v="20115"/>
    <n v="2"/>
    <x v="0"/>
    <x v="0"/>
    <n v="11"/>
    <n v="3"/>
    <n v="4"/>
    <n v="80"/>
    <n v="1"/>
    <n v="8"/>
    <n v="2"/>
    <n v="3"/>
    <n v="5"/>
    <n v="2"/>
    <n v="1"/>
    <n v="4"/>
  </r>
  <r>
    <x v="13"/>
    <x v="1"/>
    <x v="0"/>
    <x v="663"/>
    <x v="0"/>
    <n v="3"/>
    <n v="1"/>
    <s v="Medical"/>
    <x v="0"/>
    <n v="1915"/>
    <x v="2"/>
    <x v="0"/>
    <n v="75"/>
    <n v="2"/>
    <n v="2"/>
    <s v="Sales Executive"/>
    <x v="0"/>
    <s v="Married"/>
    <x v="1257"/>
    <n v="16495"/>
    <n v="3"/>
    <x v="0"/>
    <x v="0"/>
    <n v="12"/>
    <n v="3"/>
    <n v="3"/>
    <n v="80"/>
    <n v="0"/>
    <n v="9"/>
    <n v="3"/>
    <n v="2"/>
    <n v="4"/>
    <n v="2"/>
    <n v="0"/>
    <n v="1"/>
  </r>
  <r>
    <x v="12"/>
    <x v="1"/>
    <x v="0"/>
    <x v="389"/>
    <x v="1"/>
    <n v="4"/>
    <n v="3"/>
    <s v="Medical"/>
    <x v="0"/>
    <n v="1916"/>
    <x v="3"/>
    <x v="0"/>
    <n v="62"/>
    <n v="4"/>
    <n v="1"/>
    <s v="Laboratory Technician"/>
    <x v="2"/>
    <s v="Divorced"/>
    <x v="1258"/>
    <n v="16031"/>
    <n v="8"/>
    <x v="0"/>
    <x v="1"/>
    <n v="12"/>
    <n v="3"/>
    <n v="2"/>
    <n v="80"/>
    <n v="1"/>
    <n v="4"/>
    <n v="0"/>
    <n v="2"/>
    <n v="2"/>
    <n v="2"/>
    <n v="2"/>
    <n v="2"/>
  </r>
  <r>
    <x v="25"/>
    <x v="1"/>
    <x v="1"/>
    <x v="854"/>
    <x v="1"/>
    <n v="6"/>
    <n v="3"/>
    <s v="Other"/>
    <x v="0"/>
    <n v="1918"/>
    <x v="1"/>
    <x v="1"/>
    <n v="61"/>
    <n v="4"/>
    <n v="1"/>
    <s v="Laboratory Technician"/>
    <x v="0"/>
    <s v="Married"/>
    <x v="1259"/>
    <n v="7102"/>
    <n v="0"/>
    <x v="0"/>
    <x v="1"/>
    <n v="18"/>
    <n v="3"/>
    <n v="1"/>
    <n v="80"/>
    <n v="1"/>
    <n v="8"/>
    <n v="3"/>
    <n v="3"/>
    <n v="7"/>
    <n v="7"/>
    <n v="7"/>
    <n v="7"/>
  </r>
  <r>
    <x v="28"/>
    <x v="1"/>
    <x v="1"/>
    <x v="835"/>
    <x v="1"/>
    <n v="1"/>
    <n v="4"/>
    <s v="Medical"/>
    <x v="0"/>
    <n v="1922"/>
    <x v="0"/>
    <x v="1"/>
    <n v="44"/>
    <n v="3"/>
    <n v="2"/>
    <s v="Healthcare Representative"/>
    <x v="2"/>
    <s v="Single"/>
    <x v="1260"/>
    <n v="14511"/>
    <n v="4"/>
    <x v="0"/>
    <x v="1"/>
    <n v="12"/>
    <n v="3"/>
    <n v="3"/>
    <n v="80"/>
    <n v="0"/>
    <n v="12"/>
    <n v="3"/>
    <n v="3"/>
    <n v="4"/>
    <n v="2"/>
    <n v="0"/>
    <n v="3"/>
  </r>
  <r>
    <x v="3"/>
    <x v="1"/>
    <x v="0"/>
    <x v="446"/>
    <x v="0"/>
    <n v="10"/>
    <n v="4"/>
    <s v="Marketing"/>
    <x v="0"/>
    <n v="1924"/>
    <x v="0"/>
    <x v="1"/>
    <n v="43"/>
    <n v="3"/>
    <n v="2"/>
    <s v="Sales Executive"/>
    <x v="2"/>
    <s v="Single"/>
    <x v="1261"/>
    <n v="10410"/>
    <n v="1"/>
    <x v="0"/>
    <x v="1"/>
    <n v="14"/>
    <n v="3"/>
    <n v="2"/>
    <n v="80"/>
    <n v="0"/>
    <n v="10"/>
    <n v="2"/>
    <n v="2"/>
    <n v="10"/>
    <n v="4"/>
    <n v="0"/>
    <n v="9"/>
  </r>
  <r>
    <x v="14"/>
    <x v="1"/>
    <x v="1"/>
    <x v="851"/>
    <x v="0"/>
    <n v="1"/>
    <n v="2"/>
    <s v="Life Sciences"/>
    <x v="0"/>
    <n v="1927"/>
    <x v="1"/>
    <x v="1"/>
    <n v="42"/>
    <n v="2"/>
    <n v="2"/>
    <s v="Sales Executive"/>
    <x v="0"/>
    <s v="Married"/>
    <x v="1262"/>
    <n v="19255"/>
    <n v="1"/>
    <x v="0"/>
    <x v="0"/>
    <n v="12"/>
    <n v="3"/>
    <n v="3"/>
    <n v="80"/>
    <n v="1"/>
    <n v="7"/>
    <n v="2"/>
    <n v="3"/>
    <n v="7"/>
    <n v="7"/>
    <n v="0"/>
    <n v="7"/>
  </r>
  <r>
    <x v="11"/>
    <x v="0"/>
    <x v="1"/>
    <x v="75"/>
    <x v="0"/>
    <n v="24"/>
    <n v="3"/>
    <s v="Technical Degree"/>
    <x v="0"/>
    <n v="1928"/>
    <x v="1"/>
    <x v="1"/>
    <n v="45"/>
    <n v="4"/>
    <n v="1"/>
    <s v="Sales Representative"/>
    <x v="3"/>
    <s v="Single"/>
    <x v="1263"/>
    <n v="10642"/>
    <n v="1"/>
    <x v="0"/>
    <x v="1"/>
    <n v="17"/>
    <n v="3"/>
    <n v="4"/>
    <n v="80"/>
    <n v="0"/>
    <n v="1"/>
    <n v="3"/>
    <n v="3"/>
    <n v="1"/>
    <n v="0"/>
    <n v="0"/>
    <n v="0"/>
  </r>
  <r>
    <x v="22"/>
    <x v="1"/>
    <x v="2"/>
    <x v="855"/>
    <x v="0"/>
    <n v="21"/>
    <n v="4"/>
    <s v="Life Sciences"/>
    <x v="0"/>
    <n v="1929"/>
    <x v="3"/>
    <x v="0"/>
    <n v="32"/>
    <n v="1"/>
    <n v="2"/>
    <s v="Sales Executive"/>
    <x v="2"/>
    <s v="Married"/>
    <x v="1264"/>
    <n v="3987"/>
    <n v="6"/>
    <x v="0"/>
    <x v="1"/>
    <n v="19"/>
    <n v="3"/>
    <n v="3"/>
    <n v="80"/>
    <n v="1"/>
    <n v="10"/>
    <n v="1"/>
    <n v="3"/>
    <n v="3"/>
    <n v="2"/>
    <n v="1"/>
    <n v="2"/>
  </r>
  <r>
    <x v="4"/>
    <x v="1"/>
    <x v="0"/>
    <x v="114"/>
    <x v="1"/>
    <n v="2"/>
    <n v="4"/>
    <s v="Technical Degree"/>
    <x v="0"/>
    <n v="1931"/>
    <x v="0"/>
    <x v="1"/>
    <n v="41"/>
    <n v="3"/>
    <n v="1"/>
    <s v="Research Scientist"/>
    <x v="1"/>
    <s v="Married"/>
    <x v="1265"/>
    <n v="6073"/>
    <n v="1"/>
    <x v="0"/>
    <x v="1"/>
    <n v="11"/>
    <n v="3"/>
    <n v="3"/>
    <n v="80"/>
    <n v="1"/>
    <n v="6"/>
    <n v="3"/>
    <n v="2"/>
    <n v="5"/>
    <n v="3"/>
    <n v="1"/>
    <n v="2"/>
  </r>
  <r>
    <x v="13"/>
    <x v="1"/>
    <x v="1"/>
    <x v="663"/>
    <x v="1"/>
    <n v="22"/>
    <n v="4"/>
    <s v="Other"/>
    <x v="0"/>
    <n v="1932"/>
    <x v="1"/>
    <x v="1"/>
    <n v="86"/>
    <n v="2"/>
    <n v="2"/>
    <s v="Research Scientist"/>
    <x v="0"/>
    <s v="Married"/>
    <x v="1266"/>
    <n v="26496"/>
    <n v="1"/>
    <x v="0"/>
    <x v="0"/>
    <n v="15"/>
    <n v="3"/>
    <n v="2"/>
    <n v="80"/>
    <n v="0"/>
    <n v="16"/>
    <n v="3"/>
    <n v="3"/>
    <n v="15"/>
    <n v="10"/>
    <n v="6"/>
    <n v="11"/>
  </r>
  <r>
    <x v="14"/>
    <x v="0"/>
    <x v="0"/>
    <x v="708"/>
    <x v="0"/>
    <n v="13"/>
    <n v="2"/>
    <s v="Marketing"/>
    <x v="0"/>
    <n v="1933"/>
    <x v="2"/>
    <x v="0"/>
    <n v="84"/>
    <n v="3"/>
    <n v="2"/>
    <s v="Sales Executive"/>
    <x v="2"/>
    <s v="Single"/>
    <x v="1267"/>
    <n v="23352"/>
    <n v="3"/>
    <x v="0"/>
    <x v="0"/>
    <n v="11"/>
    <n v="3"/>
    <n v="4"/>
    <n v="80"/>
    <n v="0"/>
    <n v="6"/>
    <n v="0"/>
    <n v="3"/>
    <n v="2"/>
    <n v="0"/>
    <n v="2"/>
    <n v="2"/>
  </r>
  <r>
    <x v="40"/>
    <x v="1"/>
    <x v="2"/>
    <x v="151"/>
    <x v="1"/>
    <n v="14"/>
    <n v="4"/>
    <s v="Technical Degree"/>
    <x v="0"/>
    <n v="1934"/>
    <x v="1"/>
    <x v="1"/>
    <n v="64"/>
    <n v="3"/>
    <n v="2"/>
    <s v="Research Scientist"/>
    <x v="1"/>
    <s v="Married"/>
    <x v="931"/>
    <n v="2125"/>
    <n v="8"/>
    <x v="0"/>
    <x v="1"/>
    <n v="18"/>
    <n v="3"/>
    <n v="3"/>
    <n v="80"/>
    <n v="1"/>
    <n v="16"/>
    <n v="4"/>
    <n v="4"/>
    <n v="8"/>
    <n v="7"/>
    <n v="1"/>
    <n v="7"/>
  </r>
  <r>
    <x v="29"/>
    <x v="1"/>
    <x v="0"/>
    <x v="54"/>
    <x v="0"/>
    <n v="11"/>
    <n v="5"/>
    <s v="Marketing"/>
    <x v="0"/>
    <n v="1935"/>
    <x v="2"/>
    <x v="0"/>
    <n v="89"/>
    <n v="2"/>
    <n v="2"/>
    <s v="Sales Executive"/>
    <x v="3"/>
    <s v="Married"/>
    <x v="1268"/>
    <n v="20328"/>
    <n v="4"/>
    <x v="0"/>
    <x v="1"/>
    <n v="16"/>
    <n v="3"/>
    <n v="3"/>
    <n v="80"/>
    <n v="1"/>
    <n v="6"/>
    <n v="3"/>
    <n v="3"/>
    <n v="0"/>
    <n v="0"/>
    <n v="0"/>
    <n v="0"/>
  </r>
  <r>
    <x v="22"/>
    <x v="1"/>
    <x v="0"/>
    <x v="542"/>
    <x v="1"/>
    <n v="9"/>
    <n v="2"/>
    <s v="Medical"/>
    <x v="0"/>
    <n v="1936"/>
    <x v="3"/>
    <x v="1"/>
    <n v="87"/>
    <n v="3"/>
    <n v="2"/>
    <s v="Manufacturing Director"/>
    <x v="3"/>
    <s v="Married"/>
    <x v="1269"/>
    <n v="12315"/>
    <n v="1"/>
    <x v="0"/>
    <x v="1"/>
    <n v="25"/>
    <n v="4"/>
    <n v="4"/>
    <n v="80"/>
    <n v="1"/>
    <n v="10"/>
    <n v="3"/>
    <n v="3"/>
    <n v="10"/>
    <n v="0"/>
    <n v="7"/>
    <n v="9"/>
  </r>
  <r>
    <x v="8"/>
    <x v="1"/>
    <x v="1"/>
    <x v="856"/>
    <x v="1"/>
    <n v="8"/>
    <n v="3"/>
    <s v="Medical"/>
    <x v="0"/>
    <n v="1937"/>
    <x v="2"/>
    <x v="0"/>
    <n v="58"/>
    <n v="2"/>
    <n v="2"/>
    <s v="Research Scientist"/>
    <x v="1"/>
    <s v="Divorced"/>
    <x v="1270"/>
    <n v="18115"/>
    <n v="1"/>
    <x v="0"/>
    <x v="0"/>
    <n v="16"/>
    <n v="3"/>
    <n v="3"/>
    <n v="80"/>
    <n v="1"/>
    <n v="20"/>
    <n v="3"/>
    <n v="3"/>
    <n v="20"/>
    <n v="11"/>
    <n v="0"/>
    <n v="7"/>
  </r>
  <r>
    <x v="34"/>
    <x v="1"/>
    <x v="0"/>
    <x v="857"/>
    <x v="0"/>
    <n v="21"/>
    <n v="3"/>
    <s v="Life Sciences"/>
    <x v="0"/>
    <n v="1938"/>
    <x v="2"/>
    <x v="0"/>
    <n v="72"/>
    <n v="3"/>
    <n v="4"/>
    <s v="Manager"/>
    <x v="0"/>
    <s v="Married"/>
    <x v="1271"/>
    <n v="11761"/>
    <n v="4"/>
    <x v="0"/>
    <x v="0"/>
    <n v="13"/>
    <n v="3"/>
    <n v="3"/>
    <n v="80"/>
    <n v="1"/>
    <n v="29"/>
    <n v="2"/>
    <n v="2"/>
    <n v="1"/>
    <n v="0"/>
    <n v="0"/>
    <n v="0"/>
  </r>
  <r>
    <x v="5"/>
    <x v="0"/>
    <x v="1"/>
    <x v="417"/>
    <x v="1"/>
    <n v="5"/>
    <n v="2"/>
    <s v="Life Sciences"/>
    <x v="0"/>
    <n v="1939"/>
    <x v="3"/>
    <x v="0"/>
    <n v="47"/>
    <n v="4"/>
    <n v="1"/>
    <s v="Research Scientist"/>
    <x v="2"/>
    <s v="Single"/>
    <x v="1272"/>
    <n v="15318"/>
    <n v="3"/>
    <x v="0"/>
    <x v="0"/>
    <n v="14"/>
    <n v="3"/>
    <n v="1"/>
    <n v="80"/>
    <n v="0"/>
    <n v="8"/>
    <n v="2"/>
    <n v="3"/>
    <n v="4"/>
    <n v="1"/>
    <n v="0"/>
    <n v="3"/>
  </r>
  <r>
    <x v="8"/>
    <x v="1"/>
    <x v="0"/>
    <x v="568"/>
    <x v="1"/>
    <n v="9"/>
    <n v="2"/>
    <s v="Life Sciences"/>
    <x v="0"/>
    <n v="1940"/>
    <x v="0"/>
    <x v="1"/>
    <n v="71"/>
    <n v="3"/>
    <n v="1"/>
    <s v="Research Scientist"/>
    <x v="0"/>
    <s v="Divorced"/>
    <x v="1273"/>
    <n v="14293"/>
    <n v="2"/>
    <x v="0"/>
    <x v="1"/>
    <n v="19"/>
    <n v="3"/>
    <n v="4"/>
    <n v="80"/>
    <n v="2"/>
    <n v="10"/>
    <n v="0"/>
    <n v="4"/>
    <n v="5"/>
    <n v="2"/>
    <n v="0"/>
    <n v="3"/>
  </r>
  <r>
    <x v="1"/>
    <x v="1"/>
    <x v="1"/>
    <x v="858"/>
    <x v="1"/>
    <n v="2"/>
    <n v="1"/>
    <s v="Life Sciences"/>
    <x v="0"/>
    <n v="1941"/>
    <x v="0"/>
    <x v="1"/>
    <n v="42"/>
    <n v="3"/>
    <n v="5"/>
    <s v="Research Director"/>
    <x v="0"/>
    <s v="Married"/>
    <x v="1274"/>
    <n v="13738"/>
    <n v="3"/>
    <x v="0"/>
    <x v="1"/>
    <n v="15"/>
    <n v="3"/>
    <n v="4"/>
    <n v="80"/>
    <n v="0"/>
    <n v="28"/>
    <n v="3"/>
    <n v="3"/>
    <n v="5"/>
    <n v="4"/>
    <n v="4"/>
    <n v="3"/>
  </r>
  <r>
    <x v="19"/>
    <x v="1"/>
    <x v="0"/>
    <x v="22"/>
    <x v="0"/>
    <n v="12"/>
    <n v="4"/>
    <s v="Marketing"/>
    <x v="0"/>
    <n v="1943"/>
    <x v="0"/>
    <x v="1"/>
    <n v="77"/>
    <n v="3"/>
    <n v="2"/>
    <s v="Sales Executive"/>
    <x v="0"/>
    <s v="Divorced"/>
    <x v="1275"/>
    <n v="2900"/>
    <n v="3"/>
    <x v="0"/>
    <x v="0"/>
    <n v="12"/>
    <n v="3"/>
    <n v="3"/>
    <n v="80"/>
    <n v="2"/>
    <n v="14"/>
    <n v="4"/>
    <n v="3"/>
    <n v="0"/>
    <n v="0"/>
    <n v="0"/>
    <n v="0"/>
  </r>
  <r>
    <x v="4"/>
    <x v="0"/>
    <x v="1"/>
    <x v="859"/>
    <x v="2"/>
    <n v="22"/>
    <n v="3"/>
    <s v="Human Resources"/>
    <x v="0"/>
    <n v="1944"/>
    <x v="3"/>
    <x v="0"/>
    <n v="58"/>
    <n v="2"/>
    <n v="1"/>
    <s v="Human Resources"/>
    <x v="1"/>
    <s v="Married"/>
    <x v="1276"/>
    <n v="19555"/>
    <n v="1"/>
    <x v="0"/>
    <x v="1"/>
    <n v="12"/>
    <n v="3"/>
    <n v="1"/>
    <n v="80"/>
    <n v="0"/>
    <n v="1"/>
    <n v="2"/>
    <n v="3"/>
    <n v="1"/>
    <n v="0"/>
    <n v="0"/>
    <n v="0"/>
  </r>
  <r>
    <x v="10"/>
    <x v="1"/>
    <x v="0"/>
    <x v="97"/>
    <x v="0"/>
    <n v="18"/>
    <n v="4"/>
    <s v="Medical"/>
    <x v="0"/>
    <n v="1945"/>
    <x v="0"/>
    <x v="1"/>
    <n v="71"/>
    <n v="3"/>
    <n v="2"/>
    <s v="Sales Executive"/>
    <x v="3"/>
    <s v="Married"/>
    <x v="489"/>
    <n v="15975"/>
    <n v="0"/>
    <x v="0"/>
    <x v="1"/>
    <n v="16"/>
    <n v="3"/>
    <n v="4"/>
    <n v="80"/>
    <n v="1"/>
    <n v="6"/>
    <n v="2"/>
    <n v="1"/>
    <n v="5"/>
    <n v="3"/>
    <n v="0"/>
    <n v="4"/>
  </r>
  <r>
    <x v="14"/>
    <x v="1"/>
    <x v="2"/>
    <x v="646"/>
    <x v="1"/>
    <n v="16"/>
    <n v="3"/>
    <s v="Medical"/>
    <x v="0"/>
    <n v="1947"/>
    <x v="1"/>
    <x v="1"/>
    <n v="49"/>
    <n v="3"/>
    <n v="1"/>
    <s v="Research Scientist"/>
    <x v="2"/>
    <s v="Single"/>
    <x v="1277"/>
    <n v="2122"/>
    <n v="1"/>
    <x v="0"/>
    <x v="1"/>
    <n v="14"/>
    <n v="3"/>
    <n v="3"/>
    <n v="80"/>
    <n v="0"/>
    <n v="5"/>
    <n v="3"/>
    <n v="2"/>
    <n v="5"/>
    <n v="3"/>
    <n v="1"/>
    <n v="4"/>
  </r>
  <r>
    <x v="12"/>
    <x v="1"/>
    <x v="2"/>
    <x v="218"/>
    <x v="1"/>
    <n v="3"/>
    <n v="2"/>
    <s v="Medical"/>
    <x v="0"/>
    <n v="1948"/>
    <x v="1"/>
    <x v="1"/>
    <n v="48"/>
    <n v="3"/>
    <n v="1"/>
    <s v="Research Scientist"/>
    <x v="3"/>
    <s v="Divorced"/>
    <x v="1278"/>
    <n v="3995"/>
    <n v="1"/>
    <x v="0"/>
    <x v="0"/>
    <n v="13"/>
    <n v="3"/>
    <n v="4"/>
    <n v="80"/>
    <n v="1"/>
    <n v="4"/>
    <n v="3"/>
    <n v="4"/>
    <n v="4"/>
    <n v="2"/>
    <n v="2"/>
    <n v="3"/>
  </r>
  <r>
    <x v="9"/>
    <x v="1"/>
    <x v="2"/>
    <x v="757"/>
    <x v="1"/>
    <n v="9"/>
    <n v="4"/>
    <s v="Life Sciences"/>
    <x v="0"/>
    <n v="1949"/>
    <x v="3"/>
    <x v="1"/>
    <n v="66"/>
    <n v="4"/>
    <n v="1"/>
    <s v="Laboratory Technician"/>
    <x v="1"/>
    <s v="Married"/>
    <x v="1279"/>
    <n v="9238"/>
    <n v="1"/>
    <x v="0"/>
    <x v="1"/>
    <n v="22"/>
    <n v="4"/>
    <n v="2"/>
    <n v="80"/>
    <n v="0"/>
    <n v="5"/>
    <n v="3"/>
    <n v="3"/>
    <n v="5"/>
    <n v="4"/>
    <n v="0"/>
    <n v="2"/>
  </r>
  <r>
    <x v="13"/>
    <x v="1"/>
    <x v="0"/>
    <x v="860"/>
    <x v="0"/>
    <n v="1"/>
    <n v="3"/>
    <s v="Marketing"/>
    <x v="0"/>
    <n v="1950"/>
    <x v="3"/>
    <x v="1"/>
    <n v="32"/>
    <n v="3"/>
    <n v="3"/>
    <s v="Sales Executive"/>
    <x v="0"/>
    <s v="Single"/>
    <x v="1280"/>
    <n v="6770"/>
    <n v="1"/>
    <x v="0"/>
    <x v="1"/>
    <n v="21"/>
    <n v="4"/>
    <n v="1"/>
    <n v="80"/>
    <n v="0"/>
    <n v="14"/>
    <n v="3"/>
    <n v="2"/>
    <n v="14"/>
    <n v="8"/>
    <n v="2"/>
    <n v="1"/>
  </r>
  <r>
    <x v="13"/>
    <x v="1"/>
    <x v="0"/>
    <x v="824"/>
    <x v="0"/>
    <n v="13"/>
    <n v="4"/>
    <s v="Medical"/>
    <x v="0"/>
    <n v="1951"/>
    <x v="2"/>
    <x v="1"/>
    <n v="39"/>
    <n v="3"/>
    <n v="3"/>
    <s v="Sales Executive"/>
    <x v="2"/>
    <s v="Divorced"/>
    <x v="1281"/>
    <n v="22914"/>
    <n v="1"/>
    <x v="0"/>
    <x v="1"/>
    <n v="18"/>
    <n v="3"/>
    <n v="3"/>
    <n v="80"/>
    <n v="1"/>
    <n v="9"/>
    <n v="2"/>
    <n v="2"/>
    <n v="8"/>
    <n v="7"/>
    <n v="1"/>
    <n v="1"/>
  </r>
  <r>
    <x v="25"/>
    <x v="1"/>
    <x v="0"/>
    <x v="861"/>
    <x v="1"/>
    <n v="1"/>
    <n v="3"/>
    <s v="Medical"/>
    <x v="0"/>
    <n v="1952"/>
    <x v="1"/>
    <x v="1"/>
    <n v="95"/>
    <n v="3"/>
    <n v="1"/>
    <s v="Laboratory Technician"/>
    <x v="3"/>
    <s v="Single"/>
    <x v="1282"/>
    <n v="20006"/>
    <n v="0"/>
    <x v="0"/>
    <x v="1"/>
    <n v="13"/>
    <n v="3"/>
    <n v="4"/>
    <n v="80"/>
    <n v="0"/>
    <n v="8"/>
    <n v="6"/>
    <n v="2"/>
    <n v="7"/>
    <n v="7"/>
    <n v="7"/>
    <n v="6"/>
  </r>
  <r>
    <x v="11"/>
    <x v="1"/>
    <x v="0"/>
    <x v="741"/>
    <x v="1"/>
    <n v="1"/>
    <n v="3"/>
    <s v="Life Sciences"/>
    <x v="0"/>
    <n v="1954"/>
    <x v="3"/>
    <x v="1"/>
    <n v="89"/>
    <n v="3"/>
    <n v="2"/>
    <s v="Healthcare Representative"/>
    <x v="3"/>
    <s v="Married"/>
    <x v="1283"/>
    <n v="6225"/>
    <n v="0"/>
    <x v="0"/>
    <x v="1"/>
    <n v="12"/>
    <n v="3"/>
    <n v="1"/>
    <n v="80"/>
    <n v="1"/>
    <n v="6"/>
    <n v="5"/>
    <n v="2"/>
    <n v="5"/>
    <n v="3"/>
    <n v="0"/>
    <n v="2"/>
  </r>
  <r>
    <x v="5"/>
    <x v="1"/>
    <x v="2"/>
    <x v="466"/>
    <x v="1"/>
    <n v="15"/>
    <n v="4"/>
    <s v="Medical"/>
    <x v="0"/>
    <n v="1955"/>
    <x v="1"/>
    <x v="0"/>
    <n v="34"/>
    <n v="3"/>
    <n v="2"/>
    <s v="Healthcare Representative"/>
    <x v="0"/>
    <s v="Divorced"/>
    <x v="1284"/>
    <n v="16542"/>
    <n v="5"/>
    <x v="0"/>
    <x v="1"/>
    <n v="18"/>
    <n v="3"/>
    <n v="2"/>
    <n v="80"/>
    <n v="1"/>
    <n v="9"/>
    <n v="6"/>
    <n v="3"/>
    <n v="5"/>
    <n v="1"/>
    <n v="1"/>
    <n v="2"/>
  </r>
  <r>
    <x v="12"/>
    <x v="1"/>
    <x v="1"/>
    <x v="26"/>
    <x v="1"/>
    <n v="1"/>
    <n v="3"/>
    <s v="Life Sciences"/>
    <x v="0"/>
    <n v="1956"/>
    <x v="2"/>
    <x v="1"/>
    <n v="48"/>
    <n v="1"/>
    <n v="2"/>
    <s v="Research Scientist"/>
    <x v="3"/>
    <s v="Married"/>
    <x v="701"/>
    <n v="5771"/>
    <n v="1"/>
    <x v="0"/>
    <x v="1"/>
    <n v="21"/>
    <n v="4"/>
    <n v="2"/>
    <n v="80"/>
    <n v="0"/>
    <n v="10"/>
    <n v="6"/>
    <n v="3"/>
    <n v="10"/>
    <n v="8"/>
    <n v="8"/>
    <n v="7"/>
  </r>
  <r>
    <x v="14"/>
    <x v="0"/>
    <x v="0"/>
    <x v="548"/>
    <x v="1"/>
    <n v="17"/>
    <n v="3"/>
    <s v="Technical Degree"/>
    <x v="0"/>
    <n v="1960"/>
    <x v="1"/>
    <x v="1"/>
    <n v="32"/>
    <n v="2"/>
    <n v="1"/>
    <s v="Laboratory Technician"/>
    <x v="0"/>
    <s v="Divorced"/>
    <x v="1039"/>
    <n v="18779"/>
    <n v="5"/>
    <x v="0"/>
    <x v="1"/>
    <n v="12"/>
    <n v="3"/>
    <n v="1"/>
    <n v="80"/>
    <n v="1"/>
    <n v="6"/>
    <n v="2"/>
    <n v="2"/>
    <n v="4"/>
    <n v="1"/>
    <n v="0"/>
    <n v="3"/>
  </r>
  <r>
    <x v="8"/>
    <x v="1"/>
    <x v="0"/>
    <x v="548"/>
    <x v="0"/>
    <n v="1"/>
    <n v="3"/>
    <s v="Life Sciences"/>
    <x v="0"/>
    <n v="1961"/>
    <x v="3"/>
    <x v="1"/>
    <n v="59"/>
    <n v="2"/>
    <n v="1"/>
    <s v="Sales Representative"/>
    <x v="3"/>
    <s v="Single"/>
    <x v="1285"/>
    <n v="11473"/>
    <n v="4"/>
    <x v="0"/>
    <x v="1"/>
    <n v="14"/>
    <n v="3"/>
    <n v="1"/>
    <n v="80"/>
    <n v="0"/>
    <n v="20"/>
    <n v="3"/>
    <n v="2"/>
    <n v="1"/>
    <n v="0"/>
    <n v="0"/>
    <n v="0"/>
  </r>
  <r>
    <x v="10"/>
    <x v="1"/>
    <x v="0"/>
    <x v="844"/>
    <x v="0"/>
    <n v="7"/>
    <n v="4"/>
    <s v="Life Sciences"/>
    <x v="0"/>
    <n v="1962"/>
    <x v="1"/>
    <x v="0"/>
    <n v="55"/>
    <n v="3"/>
    <n v="2"/>
    <s v="Sales Executive"/>
    <x v="0"/>
    <s v="Married"/>
    <x v="626"/>
    <n v="13586"/>
    <n v="1"/>
    <x v="0"/>
    <x v="0"/>
    <n v="11"/>
    <n v="3"/>
    <n v="4"/>
    <n v="80"/>
    <n v="0"/>
    <n v="10"/>
    <n v="2"/>
    <n v="3"/>
    <n v="10"/>
    <n v="8"/>
    <n v="0"/>
    <n v="9"/>
  </r>
  <r>
    <x v="4"/>
    <x v="1"/>
    <x v="0"/>
    <x v="460"/>
    <x v="0"/>
    <n v="9"/>
    <n v="3"/>
    <s v="Marketing"/>
    <x v="0"/>
    <n v="1965"/>
    <x v="2"/>
    <x v="1"/>
    <n v="44"/>
    <n v="3"/>
    <n v="2"/>
    <s v="Sales Executive"/>
    <x v="0"/>
    <s v="Single"/>
    <x v="1286"/>
    <n v="5099"/>
    <n v="1"/>
    <x v="0"/>
    <x v="1"/>
    <n v="14"/>
    <n v="3"/>
    <n v="1"/>
    <n v="80"/>
    <n v="0"/>
    <n v="7"/>
    <n v="5"/>
    <n v="3"/>
    <n v="7"/>
    <n v="7"/>
    <n v="0"/>
    <n v="7"/>
  </r>
  <r>
    <x v="5"/>
    <x v="1"/>
    <x v="0"/>
    <x v="2"/>
    <x v="1"/>
    <n v="5"/>
    <n v="4"/>
    <s v="Life Sciences"/>
    <x v="0"/>
    <n v="1966"/>
    <x v="2"/>
    <x v="1"/>
    <n v="56"/>
    <n v="2"/>
    <n v="2"/>
    <s v="Manufacturing Director"/>
    <x v="0"/>
    <s v="Single"/>
    <x v="1287"/>
    <n v="10138"/>
    <n v="8"/>
    <x v="0"/>
    <x v="1"/>
    <n v="24"/>
    <n v="4"/>
    <n v="2"/>
    <n v="80"/>
    <n v="0"/>
    <n v="8"/>
    <n v="1"/>
    <n v="3"/>
    <n v="1"/>
    <n v="0"/>
    <n v="0"/>
    <n v="0"/>
  </r>
  <r>
    <x v="12"/>
    <x v="0"/>
    <x v="1"/>
    <x v="862"/>
    <x v="0"/>
    <n v="26"/>
    <n v="4"/>
    <s v="Marketing"/>
    <x v="0"/>
    <n v="1967"/>
    <x v="3"/>
    <x v="1"/>
    <n v="63"/>
    <n v="3"/>
    <n v="2"/>
    <s v="Sales Executive"/>
    <x v="0"/>
    <s v="Married"/>
    <x v="1288"/>
    <n v="21075"/>
    <n v="1"/>
    <x v="0"/>
    <x v="0"/>
    <n v="11"/>
    <n v="3"/>
    <n v="3"/>
    <n v="80"/>
    <n v="0"/>
    <n v="10"/>
    <n v="4"/>
    <n v="3"/>
    <n v="10"/>
    <n v="7"/>
    <n v="0"/>
    <n v="8"/>
  </r>
  <r>
    <x v="16"/>
    <x v="0"/>
    <x v="0"/>
    <x v="863"/>
    <x v="0"/>
    <n v="24"/>
    <n v="4"/>
    <s v="Life Sciences"/>
    <x v="0"/>
    <n v="1968"/>
    <x v="3"/>
    <x v="1"/>
    <n v="66"/>
    <n v="3"/>
    <n v="3"/>
    <s v="Sales Executive"/>
    <x v="3"/>
    <s v="Single"/>
    <x v="1289"/>
    <n v="5843"/>
    <n v="6"/>
    <x v="0"/>
    <x v="0"/>
    <n v="13"/>
    <n v="3"/>
    <n v="2"/>
    <n v="80"/>
    <n v="0"/>
    <n v="15"/>
    <n v="2"/>
    <n v="2"/>
    <n v="2"/>
    <n v="2"/>
    <n v="2"/>
    <n v="2"/>
  </r>
  <r>
    <x v="33"/>
    <x v="1"/>
    <x v="0"/>
    <x v="864"/>
    <x v="1"/>
    <n v="9"/>
    <n v="2"/>
    <s v="Life Sciences"/>
    <x v="0"/>
    <n v="1969"/>
    <x v="3"/>
    <x v="0"/>
    <n v="67"/>
    <n v="3"/>
    <n v="2"/>
    <s v="Research Scientist"/>
    <x v="2"/>
    <s v="Married"/>
    <x v="1290"/>
    <n v="22474"/>
    <n v="3"/>
    <x v="0"/>
    <x v="1"/>
    <n v="11"/>
    <n v="3"/>
    <n v="3"/>
    <n v="80"/>
    <n v="2"/>
    <n v="9"/>
    <n v="6"/>
    <n v="2"/>
    <n v="4"/>
    <n v="3"/>
    <n v="2"/>
    <n v="3"/>
  </r>
  <r>
    <x v="3"/>
    <x v="1"/>
    <x v="1"/>
    <x v="366"/>
    <x v="1"/>
    <n v="7"/>
    <n v="2"/>
    <s v="Life Sciences"/>
    <x v="0"/>
    <n v="1970"/>
    <x v="2"/>
    <x v="1"/>
    <n v="36"/>
    <n v="3"/>
    <n v="2"/>
    <s v="Healthcare Representative"/>
    <x v="2"/>
    <s v="Divorced"/>
    <x v="1291"/>
    <n v="18079"/>
    <n v="1"/>
    <x v="0"/>
    <x v="1"/>
    <n v="20"/>
    <n v="4"/>
    <n v="3"/>
    <n v="80"/>
    <n v="3"/>
    <n v="9"/>
    <n v="2"/>
    <n v="3"/>
    <n v="9"/>
    <n v="7"/>
    <n v="2"/>
    <n v="8"/>
  </r>
  <r>
    <x v="23"/>
    <x v="1"/>
    <x v="0"/>
    <x v="836"/>
    <x v="1"/>
    <n v="11"/>
    <n v="3"/>
    <s v="Life Sciences"/>
    <x v="0"/>
    <n v="1971"/>
    <x v="3"/>
    <x v="1"/>
    <n v="30"/>
    <n v="3"/>
    <n v="3"/>
    <s v="Healthcare Representative"/>
    <x v="2"/>
    <s v="Married"/>
    <x v="1292"/>
    <n v="16873"/>
    <n v="1"/>
    <x v="0"/>
    <x v="1"/>
    <n v="17"/>
    <n v="3"/>
    <n v="2"/>
    <n v="80"/>
    <n v="1"/>
    <n v="10"/>
    <n v="1"/>
    <n v="3"/>
    <n v="10"/>
    <n v="9"/>
    <n v="0"/>
    <n v="9"/>
  </r>
  <r>
    <x v="8"/>
    <x v="1"/>
    <x v="1"/>
    <x v="865"/>
    <x v="2"/>
    <n v="1"/>
    <n v="4"/>
    <s v="Other"/>
    <x v="0"/>
    <n v="1972"/>
    <x v="2"/>
    <x v="1"/>
    <n v="88"/>
    <n v="3"/>
    <n v="1"/>
    <s v="Human Resources"/>
    <x v="1"/>
    <s v="Married"/>
    <x v="1293"/>
    <n v="5224"/>
    <n v="0"/>
    <x v="0"/>
    <x v="0"/>
    <n v="11"/>
    <n v="3"/>
    <n v="2"/>
    <n v="80"/>
    <n v="1"/>
    <n v="7"/>
    <n v="2"/>
    <n v="3"/>
    <n v="6"/>
    <n v="2"/>
    <n v="1"/>
    <n v="2"/>
  </r>
  <r>
    <x v="27"/>
    <x v="1"/>
    <x v="0"/>
    <x v="866"/>
    <x v="2"/>
    <n v="26"/>
    <n v="4"/>
    <s v="Human Resources"/>
    <x v="0"/>
    <n v="1973"/>
    <x v="1"/>
    <x v="1"/>
    <n v="71"/>
    <n v="4"/>
    <n v="5"/>
    <s v="Manager"/>
    <x v="1"/>
    <s v="Married"/>
    <x v="1294"/>
    <n v="25811"/>
    <n v="4"/>
    <x v="0"/>
    <x v="0"/>
    <n v="18"/>
    <n v="3"/>
    <n v="1"/>
    <n v="80"/>
    <n v="1"/>
    <n v="35"/>
    <n v="0"/>
    <n v="3"/>
    <n v="10"/>
    <n v="9"/>
    <n v="1"/>
    <n v="4"/>
  </r>
  <r>
    <x v="12"/>
    <x v="1"/>
    <x v="0"/>
    <x v="371"/>
    <x v="1"/>
    <n v="2"/>
    <n v="1"/>
    <s v="Medical"/>
    <x v="0"/>
    <n v="1974"/>
    <x v="2"/>
    <x v="0"/>
    <n v="59"/>
    <n v="1"/>
    <n v="1"/>
    <s v="Laboratory Technician"/>
    <x v="0"/>
    <s v="Divorced"/>
    <x v="1295"/>
    <n v="17536"/>
    <n v="1"/>
    <x v="0"/>
    <x v="0"/>
    <n v="11"/>
    <n v="3"/>
    <n v="3"/>
    <n v="80"/>
    <n v="3"/>
    <n v="1"/>
    <n v="4"/>
    <n v="3"/>
    <n v="1"/>
    <n v="0"/>
    <n v="0"/>
    <n v="0"/>
  </r>
  <r>
    <x v="22"/>
    <x v="1"/>
    <x v="0"/>
    <x v="205"/>
    <x v="0"/>
    <n v="15"/>
    <n v="4"/>
    <s v="Marketing"/>
    <x v="0"/>
    <n v="1975"/>
    <x v="0"/>
    <x v="1"/>
    <n v="77"/>
    <n v="3"/>
    <n v="4"/>
    <s v="Sales Executive"/>
    <x v="3"/>
    <s v="Single"/>
    <x v="1296"/>
    <n v="25098"/>
    <n v="0"/>
    <x v="0"/>
    <x v="1"/>
    <n v="12"/>
    <n v="3"/>
    <n v="1"/>
    <n v="80"/>
    <n v="0"/>
    <n v="21"/>
    <n v="3"/>
    <n v="3"/>
    <n v="20"/>
    <n v="8"/>
    <n v="11"/>
    <n v="10"/>
  </r>
  <r>
    <x v="19"/>
    <x v="1"/>
    <x v="2"/>
    <x v="557"/>
    <x v="1"/>
    <n v="23"/>
    <n v="2"/>
    <s v="Life Sciences"/>
    <x v="0"/>
    <n v="1976"/>
    <x v="2"/>
    <x v="1"/>
    <n v="37"/>
    <n v="2"/>
    <n v="2"/>
    <s v="Research Scientist"/>
    <x v="2"/>
    <s v="Single"/>
    <x v="1297"/>
    <n v="14811"/>
    <n v="1"/>
    <x v="0"/>
    <x v="1"/>
    <n v="12"/>
    <n v="3"/>
    <n v="4"/>
    <n v="80"/>
    <n v="0"/>
    <n v="20"/>
    <n v="2"/>
    <n v="3"/>
    <n v="20"/>
    <n v="9"/>
    <n v="3"/>
    <n v="7"/>
  </r>
  <r>
    <x v="12"/>
    <x v="1"/>
    <x v="2"/>
    <x v="602"/>
    <x v="1"/>
    <n v="10"/>
    <n v="3"/>
    <s v="Medical"/>
    <x v="0"/>
    <n v="1979"/>
    <x v="1"/>
    <x v="0"/>
    <n v="40"/>
    <n v="3"/>
    <n v="3"/>
    <s v="Research Director"/>
    <x v="2"/>
    <s v="Married"/>
    <x v="1298"/>
    <n v="26862"/>
    <n v="4"/>
    <x v="0"/>
    <x v="1"/>
    <n v="20"/>
    <n v="4"/>
    <n v="3"/>
    <n v="80"/>
    <n v="1"/>
    <n v="13"/>
    <n v="2"/>
    <n v="4"/>
    <n v="11"/>
    <n v="7"/>
    <n v="4"/>
    <n v="8"/>
  </r>
  <r>
    <x v="33"/>
    <x v="1"/>
    <x v="0"/>
    <x v="861"/>
    <x v="1"/>
    <n v="10"/>
    <n v="3"/>
    <s v="Medical"/>
    <x v="0"/>
    <n v="1980"/>
    <x v="1"/>
    <x v="0"/>
    <n v="77"/>
    <n v="3"/>
    <n v="2"/>
    <s v="Manufacturing Director"/>
    <x v="3"/>
    <s v="Single"/>
    <x v="1299"/>
    <n v="25198"/>
    <n v="6"/>
    <x v="0"/>
    <x v="0"/>
    <n v="19"/>
    <n v="3"/>
    <n v="4"/>
    <n v="80"/>
    <n v="0"/>
    <n v="9"/>
    <n v="3"/>
    <n v="3"/>
    <n v="5"/>
    <n v="2"/>
    <n v="1"/>
    <n v="4"/>
  </r>
  <r>
    <x v="17"/>
    <x v="1"/>
    <x v="0"/>
    <x v="215"/>
    <x v="1"/>
    <n v="1"/>
    <n v="2"/>
    <s v="Life Sciences"/>
    <x v="0"/>
    <n v="1981"/>
    <x v="0"/>
    <x v="1"/>
    <n v="45"/>
    <n v="2"/>
    <n v="2"/>
    <s v="Healthcare Representative"/>
    <x v="2"/>
    <s v="Single"/>
    <x v="1300"/>
    <n v="14120"/>
    <n v="1"/>
    <x v="0"/>
    <x v="1"/>
    <n v="12"/>
    <n v="3"/>
    <n v="2"/>
    <n v="80"/>
    <n v="0"/>
    <n v="4"/>
    <n v="2"/>
    <n v="2"/>
    <n v="4"/>
    <n v="3"/>
    <n v="1"/>
    <n v="2"/>
  </r>
  <r>
    <x v="30"/>
    <x v="1"/>
    <x v="0"/>
    <x v="469"/>
    <x v="1"/>
    <n v="12"/>
    <n v="2"/>
    <s v="Other"/>
    <x v="0"/>
    <n v="1982"/>
    <x v="2"/>
    <x v="1"/>
    <n v="78"/>
    <n v="3"/>
    <n v="1"/>
    <s v="Laboratory Technician"/>
    <x v="0"/>
    <s v="Single"/>
    <x v="1301"/>
    <n v="13672"/>
    <n v="1"/>
    <x v="0"/>
    <x v="1"/>
    <n v="13"/>
    <n v="3"/>
    <n v="3"/>
    <n v="80"/>
    <n v="0"/>
    <n v="5"/>
    <n v="6"/>
    <n v="4"/>
    <n v="5"/>
    <n v="2"/>
    <n v="1"/>
    <n v="4"/>
  </r>
  <r>
    <x v="32"/>
    <x v="1"/>
    <x v="1"/>
    <x v="175"/>
    <x v="1"/>
    <n v="11"/>
    <n v="3"/>
    <s v="Technical Degree"/>
    <x v="0"/>
    <n v="1985"/>
    <x v="2"/>
    <x v="0"/>
    <n v="73"/>
    <n v="3"/>
    <n v="2"/>
    <s v="Laboratory Technician"/>
    <x v="2"/>
    <s v="Married"/>
    <x v="1302"/>
    <n v="26849"/>
    <n v="1"/>
    <x v="0"/>
    <x v="1"/>
    <n v="11"/>
    <n v="3"/>
    <n v="1"/>
    <n v="80"/>
    <n v="1"/>
    <n v="10"/>
    <n v="2"/>
    <n v="4"/>
    <n v="10"/>
    <n v="9"/>
    <n v="9"/>
    <n v="4"/>
  </r>
  <r>
    <x v="32"/>
    <x v="1"/>
    <x v="0"/>
    <x v="264"/>
    <x v="0"/>
    <n v="2"/>
    <n v="2"/>
    <s v="Marketing"/>
    <x v="0"/>
    <n v="1986"/>
    <x v="0"/>
    <x v="0"/>
    <n v="92"/>
    <n v="3"/>
    <n v="2"/>
    <s v="Sales Executive"/>
    <x v="1"/>
    <s v="Married"/>
    <x v="1303"/>
    <n v="4258"/>
    <n v="3"/>
    <x v="0"/>
    <x v="1"/>
    <n v="14"/>
    <n v="3"/>
    <n v="3"/>
    <n v="80"/>
    <n v="1"/>
    <n v="15"/>
    <n v="4"/>
    <n v="3"/>
    <n v="11"/>
    <n v="8"/>
    <n v="5"/>
    <n v="10"/>
  </r>
  <r>
    <x v="36"/>
    <x v="1"/>
    <x v="0"/>
    <x v="599"/>
    <x v="2"/>
    <n v="2"/>
    <n v="3"/>
    <s v="Human Resources"/>
    <x v="0"/>
    <n v="1987"/>
    <x v="1"/>
    <x v="0"/>
    <n v="82"/>
    <n v="3"/>
    <n v="1"/>
    <s v="Human Resources"/>
    <x v="1"/>
    <s v="Married"/>
    <x v="467"/>
    <n v="19655"/>
    <n v="4"/>
    <x v="0"/>
    <x v="1"/>
    <n v="14"/>
    <n v="3"/>
    <n v="3"/>
    <n v="80"/>
    <n v="0"/>
    <n v="6"/>
    <n v="3"/>
    <n v="3"/>
    <n v="2"/>
    <n v="0"/>
    <n v="1"/>
    <n v="2"/>
  </r>
  <r>
    <x v="7"/>
    <x v="1"/>
    <x v="0"/>
    <x v="867"/>
    <x v="1"/>
    <n v="1"/>
    <n v="2"/>
    <s v="Medical"/>
    <x v="0"/>
    <n v="1989"/>
    <x v="2"/>
    <x v="1"/>
    <n v="76"/>
    <n v="3"/>
    <n v="1"/>
    <s v="Laboratory Technician"/>
    <x v="1"/>
    <s v="Married"/>
    <x v="1304"/>
    <n v="4077"/>
    <n v="1"/>
    <x v="0"/>
    <x v="1"/>
    <n v="13"/>
    <n v="3"/>
    <n v="3"/>
    <n v="80"/>
    <n v="0"/>
    <n v="12"/>
    <n v="6"/>
    <n v="2"/>
    <n v="12"/>
    <n v="8"/>
    <n v="1"/>
    <n v="7"/>
  </r>
  <r>
    <x v="36"/>
    <x v="1"/>
    <x v="0"/>
    <x v="630"/>
    <x v="1"/>
    <n v="2"/>
    <n v="1"/>
    <s v="Other"/>
    <x v="0"/>
    <n v="1992"/>
    <x v="2"/>
    <x v="1"/>
    <n v="57"/>
    <n v="3"/>
    <n v="1"/>
    <s v="Laboratory Technician"/>
    <x v="2"/>
    <s v="Divorced"/>
    <x v="1305"/>
    <n v="7298"/>
    <n v="6"/>
    <x v="0"/>
    <x v="0"/>
    <n v="19"/>
    <n v="3"/>
    <n v="3"/>
    <n v="80"/>
    <n v="1"/>
    <n v="7"/>
    <n v="2"/>
    <n v="2"/>
    <n v="2"/>
    <n v="2"/>
    <n v="0"/>
    <n v="2"/>
  </r>
  <r>
    <x v="40"/>
    <x v="1"/>
    <x v="0"/>
    <x v="189"/>
    <x v="1"/>
    <n v="25"/>
    <n v="3"/>
    <s v="Medical"/>
    <x v="0"/>
    <n v="1993"/>
    <x v="3"/>
    <x v="1"/>
    <n v="84"/>
    <n v="3"/>
    <n v="3"/>
    <s v="Healthcare Representative"/>
    <x v="2"/>
    <s v="Single"/>
    <x v="1306"/>
    <n v="13084"/>
    <n v="2"/>
    <x v="0"/>
    <x v="1"/>
    <n v="23"/>
    <n v="4"/>
    <n v="2"/>
    <n v="80"/>
    <n v="0"/>
    <n v="25"/>
    <n v="3"/>
    <n v="3"/>
    <n v="17"/>
    <n v="14"/>
    <n v="12"/>
    <n v="11"/>
  </r>
  <r>
    <x v="3"/>
    <x v="1"/>
    <x v="2"/>
    <x v="766"/>
    <x v="1"/>
    <n v="1"/>
    <n v="2"/>
    <s v="Medical"/>
    <x v="0"/>
    <n v="1994"/>
    <x v="0"/>
    <x v="1"/>
    <n v="59"/>
    <n v="2"/>
    <n v="1"/>
    <s v="Laboratory Technician"/>
    <x v="2"/>
    <s v="Divorced"/>
    <x v="641"/>
    <n v="20439"/>
    <n v="1"/>
    <x v="0"/>
    <x v="1"/>
    <n v="12"/>
    <n v="3"/>
    <n v="3"/>
    <n v="80"/>
    <n v="3"/>
    <n v="1"/>
    <n v="2"/>
    <n v="2"/>
    <n v="1"/>
    <n v="1"/>
    <n v="0"/>
    <n v="0"/>
  </r>
  <r>
    <x v="8"/>
    <x v="1"/>
    <x v="0"/>
    <x v="868"/>
    <x v="0"/>
    <n v="1"/>
    <n v="4"/>
    <s v="Life Sciences"/>
    <x v="0"/>
    <n v="1995"/>
    <x v="2"/>
    <x v="1"/>
    <n v="86"/>
    <n v="3"/>
    <n v="2"/>
    <s v="Sales Executive"/>
    <x v="1"/>
    <s v="Married"/>
    <x v="1299"/>
    <n v="7636"/>
    <n v="0"/>
    <x v="0"/>
    <x v="1"/>
    <n v="15"/>
    <n v="3"/>
    <n v="1"/>
    <n v="80"/>
    <n v="2"/>
    <n v="16"/>
    <n v="3"/>
    <n v="3"/>
    <n v="15"/>
    <n v="13"/>
    <n v="5"/>
    <n v="8"/>
  </r>
  <r>
    <x v="12"/>
    <x v="1"/>
    <x v="0"/>
    <x v="869"/>
    <x v="0"/>
    <n v="2"/>
    <n v="2"/>
    <s v="Life Sciences"/>
    <x v="0"/>
    <n v="1996"/>
    <x v="3"/>
    <x v="1"/>
    <n v="54"/>
    <n v="3"/>
    <n v="1"/>
    <s v="Sales Representative"/>
    <x v="2"/>
    <s v="Married"/>
    <x v="1307"/>
    <n v="6393"/>
    <n v="0"/>
    <x v="0"/>
    <x v="1"/>
    <n v="19"/>
    <n v="3"/>
    <n v="3"/>
    <n v="80"/>
    <n v="1"/>
    <n v="3"/>
    <n v="1"/>
    <n v="3"/>
    <n v="2"/>
    <n v="2"/>
    <n v="1"/>
    <n v="2"/>
  </r>
  <r>
    <x v="8"/>
    <x v="1"/>
    <x v="1"/>
    <x v="296"/>
    <x v="1"/>
    <n v="6"/>
    <n v="4"/>
    <s v="Life Sciences"/>
    <x v="0"/>
    <n v="1997"/>
    <x v="3"/>
    <x v="1"/>
    <n v="72"/>
    <n v="2"/>
    <n v="2"/>
    <s v="Manufacturing Director"/>
    <x v="2"/>
    <s v="Married"/>
    <x v="1308"/>
    <n v="14284"/>
    <n v="2"/>
    <x v="0"/>
    <x v="1"/>
    <n v="11"/>
    <n v="3"/>
    <n v="4"/>
    <n v="80"/>
    <n v="1"/>
    <n v="10"/>
    <n v="1"/>
    <n v="3"/>
    <n v="8"/>
    <n v="3"/>
    <n v="7"/>
    <n v="7"/>
  </r>
  <r>
    <x v="19"/>
    <x v="1"/>
    <x v="0"/>
    <x v="870"/>
    <x v="1"/>
    <n v="18"/>
    <n v="4"/>
    <s v="Life Sciences"/>
    <x v="0"/>
    <n v="1998"/>
    <x v="2"/>
    <x v="1"/>
    <n v="35"/>
    <n v="3"/>
    <n v="2"/>
    <s v="Research Scientist"/>
    <x v="3"/>
    <s v="Divorced"/>
    <x v="874"/>
    <n v="11189"/>
    <n v="6"/>
    <x v="0"/>
    <x v="0"/>
    <n v="17"/>
    <n v="3"/>
    <n v="3"/>
    <n v="80"/>
    <n v="1"/>
    <n v="9"/>
    <n v="3"/>
    <n v="2"/>
    <n v="4"/>
    <n v="3"/>
    <n v="1"/>
    <n v="2"/>
  </r>
  <r>
    <x v="0"/>
    <x v="1"/>
    <x v="0"/>
    <x v="871"/>
    <x v="1"/>
    <n v="1"/>
    <n v="3"/>
    <s v="Life Sciences"/>
    <x v="0"/>
    <n v="1999"/>
    <x v="2"/>
    <x v="1"/>
    <n v="76"/>
    <n v="3"/>
    <n v="1"/>
    <s v="Research Scientist"/>
    <x v="0"/>
    <s v="Married"/>
    <x v="553"/>
    <n v="21412"/>
    <n v="3"/>
    <x v="0"/>
    <x v="1"/>
    <n v="22"/>
    <n v="4"/>
    <n v="1"/>
    <n v="80"/>
    <n v="1"/>
    <n v="12"/>
    <n v="3"/>
    <n v="3"/>
    <n v="5"/>
    <n v="3"/>
    <n v="1"/>
    <n v="0"/>
  </r>
  <r>
    <x v="40"/>
    <x v="1"/>
    <x v="2"/>
    <x v="295"/>
    <x v="1"/>
    <n v="1"/>
    <n v="1"/>
    <s v="Medical"/>
    <x v="0"/>
    <n v="2000"/>
    <x v="1"/>
    <x v="0"/>
    <n v="98"/>
    <n v="3"/>
    <n v="3"/>
    <s v="Research Director"/>
    <x v="1"/>
    <s v="Married"/>
    <x v="1309"/>
    <n v="17231"/>
    <n v="0"/>
    <x v="0"/>
    <x v="1"/>
    <n v="18"/>
    <n v="3"/>
    <n v="1"/>
    <n v="80"/>
    <n v="2"/>
    <n v="14"/>
    <n v="3"/>
    <n v="1"/>
    <n v="13"/>
    <n v="8"/>
    <n v="5"/>
    <n v="12"/>
  </r>
  <r>
    <x v="10"/>
    <x v="1"/>
    <x v="0"/>
    <x v="351"/>
    <x v="1"/>
    <n v="11"/>
    <n v="4"/>
    <s v="Medical"/>
    <x v="0"/>
    <n v="2003"/>
    <x v="2"/>
    <x v="1"/>
    <n v="43"/>
    <n v="3"/>
    <n v="1"/>
    <s v="Laboratory Technician"/>
    <x v="2"/>
    <s v="Married"/>
    <x v="1310"/>
    <n v="20232"/>
    <n v="7"/>
    <x v="0"/>
    <x v="0"/>
    <n v="11"/>
    <n v="3"/>
    <n v="3"/>
    <n v="80"/>
    <n v="1"/>
    <n v="5"/>
    <n v="3"/>
    <n v="3"/>
    <n v="2"/>
    <n v="2"/>
    <n v="2"/>
    <n v="2"/>
  </r>
  <r>
    <x v="15"/>
    <x v="1"/>
    <x v="0"/>
    <x v="794"/>
    <x v="1"/>
    <n v="1"/>
    <n v="2"/>
    <s v="Life Sciences"/>
    <x v="0"/>
    <n v="2007"/>
    <x v="2"/>
    <x v="1"/>
    <n v="63"/>
    <n v="3"/>
    <n v="1"/>
    <s v="Research Scientist"/>
    <x v="2"/>
    <s v="Single"/>
    <x v="1311"/>
    <n v="17624"/>
    <n v="0"/>
    <x v="0"/>
    <x v="1"/>
    <n v="12"/>
    <n v="3"/>
    <n v="4"/>
    <n v="80"/>
    <n v="0"/>
    <n v="4"/>
    <n v="2"/>
    <n v="4"/>
    <n v="3"/>
    <n v="2"/>
    <n v="1"/>
    <n v="2"/>
  </r>
  <r>
    <x v="10"/>
    <x v="1"/>
    <x v="0"/>
    <x v="145"/>
    <x v="1"/>
    <n v="9"/>
    <n v="4"/>
    <s v="Medical"/>
    <x v="0"/>
    <n v="2008"/>
    <x v="0"/>
    <x v="1"/>
    <n v="48"/>
    <n v="3"/>
    <n v="2"/>
    <s v="Research Scientist"/>
    <x v="2"/>
    <s v="Single"/>
    <x v="1312"/>
    <n v="18698"/>
    <n v="1"/>
    <x v="0"/>
    <x v="1"/>
    <n v="19"/>
    <n v="3"/>
    <n v="2"/>
    <n v="80"/>
    <n v="0"/>
    <n v="10"/>
    <n v="5"/>
    <n v="3"/>
    <n v="10"/>
    <n v="7"/>
    <n v="0"/>
    <n v="8"/>
  </r>
  <r>
    <x v="3"/>
    <x v="1"/>
    <x v="0"/>
    <x v="447"/>
    <x v="1"/>
    <n v="15"/>
    <n v="2"/>
    <s v="Medical"/>
    <x v="0"/>
    <n v="2009"/>
    <x v="0"/>
    <x v="0"/>
    <n v="95"/>
    <n v="3"/>
    <n v="2"/>
    <s v="Healthcare Representative"/>
    <x v="0"/>
    <s v="Married"/>
    <x v="1313"/>
    <n v="21653"/>
    <n v="0"/>
    <x v="0"/>
    <x v="0"/>
    <n v="13"/>
    <n v="3"/>
    <n v="1"/>
    <n v="80"/>
    <n v="1"/>
    <n v="10"/>
    <n v="6"/>
    <n v="3"/>
    <n v="9"/>
    <n v="7"/>
    <n v="8"/>
    <n v="1"/>
  </r>
  <r>
    <x v="5"/>
    <x v="1"/>
    <x v="0"/>
    <x v="375"/>
    <x v="1"/>
    <n v="29"/>
    <n v="4"/>
    <s v="Life Sciences"/>
    <x v="0"/>
    <n v="2010"/>
    <x v="1"/>
    <x v="0"/>
    <n v="49"/>
    <n v="2"/>
    <n v="1"/>
    <s v="Laboratory Technician"/>
    <x v="1"/>
    <s v="Single"/>
    <x v="1314"/>
    <n v="15919"/>
    <n v="1"/>
    <x v="0"/>
    <x v="1"/>
    <n v="13"/>
    <n v="3"/>
    <n v="3"/>
    <n v="80"/>
    <n v="0"/>
    <n v="6"/>
    <n v="3"/>
    <n v="3"/>
    <n v="6"/>
    <n v="2"/>
    <n v="4"/>
    <n v="1"/>
  </r>
  <r>
    <x v="32"/>
    <x v="1"/>
    <x v="0"/>
    <x v="802"/>
    <x v="1"/>
    <n v="1"/>
    <n v="4"/>
    <s v="Life Sciences"/>
    <x v="0"/>
    <n v="2012"/>
    <x v="3"/>
    <x v="1"/>
    <n v="83"/>
    <n v="3"/>
    <n v="1"/>
    <s v="Laboratory Technician"/>
    <x v="0"/>
    <s v="Married"/>
    <x v="58"/>
    <n v="4060"/>
    <n v="8"/>
    <x v="0"/>
    <x v="1"/>
    <n v="19"/>
    <n v="3"/>
    <n v="3"/>
    <n v="80"/>
    <n v="2"/>
    <n v="8"/>
    <n v="3"/>
    <n v="2"/>
    <n v="1"/>
    <n v="0"/>
    <n v="0"/>
    <n v="0"/>
  </r>
  <r>
    <x v="5"/>
    <x v="1"/>
    <x v="0"/>
    <x v="828"/>
    <x v="0"/>
    <n v="1"/>
    <n v="4"/>
    <s v="Medical"/>
    <x v="0"/>
    <n v="2013"/>
    <x v="0"/>
    <x v="1"/>
    <n v="68"/>
    <n v="2"/>
    <n v="1"/>
    <s v="Sales Representative"/>
    <x v="1"/>
    <s v="Married"/>
    <x v="47"/>
    <n v="18024"/>
    <n v="0"/>
    <x v="0"/>
    <x v="1"/>
    <n v="14"/>
    <n v="3"/>
    <n v="2"/>
    <n v="80"/>
    <n v="1"/>
    <n v="3"/>
    <n v="2"/>
    <n v="3"/>
    <n v="2"/>
    <n v="2"/>
    <n v="2"/>
    <n v="2"/>
  </r>
  <r>
    <x v="22"/>
    <x v="1"/>
    <x v="0"/>
    <x v="640"/>
    <x v="1"/>
    <n v="24"/>
    <n v="1"/>
    <s v="Life Sciences"/>
    <x v="0"/>
    <n v="2014"/>
    <x v="3"/>
    <x v="1"/>
    <n v="52"/>
    <n v="3"/>
    <n v="2"/>
    <s v="Research Scientist"/>
    <x v="0"/>
    <s v="Single"/>
    <x v="1315"/>
    <n v="5340"/>
    <n v="7"/>
    <x v="0"/>
    <x v="1"/>
    <n v="13"/>
    <n v="3"/>
    <n v="1"/>
    <n v="80"/>
    <n v="0"/>
    <n v="18"/>
    <n v="2"/>
    <n v="3"/>
    <n v="7"/>
    <n v="7"/>
    <n v="1"/>
    <n v="7"/>
  </r>
  <r>
    <x v="8"/>
    <x v="1"/>
    <x v="0"/>
    <x v="140"/>
    <x v="1"/>
    <n v="10"/>
    <n v="3"/>
    <s v="Medical"/>
    <x v="0"/>
    <n v="2015"/>
    <x v="0"/>
    <x v="0"/>
    <n v="99"/>
    <n v="1"/>
    <n v="3"/>
    <s v="Research Director"/>
    <x v="2"/>
    <s v="Married"/>
    <x v="1316"/>
    <n v="3376"/>
    <n v="3"/>
    <x v="0"/>
    <x v="1"/>
    <n v="12"/>
    <n v="3"/>
    <n v="1"/>
    <n v="80"/>
    <n v="1"/>
    <n v="20"/>
    <n v="3"/>
    <n v="3"/>
    <n v="18"/>
    <n v="16"/>
    <n v="1"/>
    <n v="11"/>
  </r>
  <r>
    <x v="5"/>
    <x v="1"/>
    <x v="0"/>
    <x v="872"/>
    <x v="0"/>
    <n v="1"/>
    <n v="4"/>
    <s v="Marketing"/>
    <x v="0"/>
    <n v="2016"/>
    <x v="1"/>
    <x v="0"/>
    <n v="48"/>
    <n v="3"/>
    <n v="3"/>
    <s v="Sales Executive"/>
    <x v="0"/>
    <s v="Married"/>
    <x v="1317"/>
    <n v="24032"/>
    <n v="1"/>
    <x v="0"/>
    <x v="1"/>
    <n v="19"/>
    <n v="3"/>
    <n v="3"/>
    <n v="80"/>
    <n v="2"/>
    <n v="14"/>
    <n v="3"/>
    <n v="3"/>
    <n v="14"/>
    <n v="10"/>
    <n v="5"/>
    <n v="7"/>
  </r>
  <r>
    <x v="2"/>
    <x v="1"/>
    <x v="0"/>
    <x v="873"/>
    <x v="1"/>
    <n v="10"/>
    <n v="3"/>
    <s v="Life Sciences"/>
    <x v="0"/>
    <n v="2017"/>
    <x v="1"/>
    <x v="0"/>
    <n v="42"/>
    <n v="4"/>
    <n v="3"/>
    <s v="Research Director"/>
    <x v="0"/>
    <s v="Married"/>
    <x v="1318"/>
    <n v="15471"/>
    <n v="1"/>
    <x v="0"/>
    <x v="0"/>
    <n v="25"/>
    <n v="4"/>
    <n v="1"/>
    <n v="80"/>
    <n v="1"/>
    <n v="16"/>
    <n v="2"/>
    <n v="3"/>
    <n v="16"/>
    <n v="11"/>
    <n v="6"/>
    <n v="8"/>
  </r>
  <r>
    <x v="36"/>
    <x v="1"/>
    <x v="0"/>
    <x v="874"/>
    <x v="0"/>
    <n v="8"/>
    <n v="2"/>
    <s v="Other"/>
    <x v="0"/>
    <n v="2018"/>
    <x v="3"/>
    <x v="0"/>
    <n v="85"/>
    <n v="3"/>
    <n v="2"/>
    <s v="Sales Executive"/>
    <x v="2"/>
    <s v="Divorced"/>
    <x v="274"/>
    <n v="13684"/>
    <n v="0"/>
    <x v="0"/>
    <x v="0"/>
    <n v="22"/>
    <n v="4"/>
    <n v="2"/>
    <n v="80"/>
    <n v="1"/>
    <n v="6"/>
    <n v="3"/>
    <n v="2"/>
    <n v="5"/>
    <n v="3"/>
    <n v="0"/>
    <n v="4"/>
  </r>
  <r>
    <x v="39"/>
    <x v="1"/>
    <x v="2"/>
    <x v="797"/>
    <x v="0"/>
    <n v="29"/>
    <n v="4"/>
    <s v="Life Sciences"/>
    <x v="0"/>
    <n v="2019"/>
    <x v="3"/>
    <x v="1"/>
    <n v="40"/>
    <n v="3"/>
    <n v="1"/>
    <s v="Sales Representative"/>
    <x v="0"/>
    <s v="Divorced"/>
    <x v="1319"/>
    <n v="19788"/>
    <n v="2"/>
    <x v="0"/>
    <x v="1"/>
    <n v="15"/>
    <n v="3"/>
    <n v="2"/>
    <n v="80"/>
    <n v="2"/>
    <n v="16"/>
    <n v="3"/>
    <n v="2"/>
    <n v="9"/>
    <n v="8"/>
    <n v="0"/>
    <n v="0"/>
  </r>
  <r>
    <x v="20"/>
    <x v="1"/>
    <x v="0"/>
    <x v="875"/>
    <x v="1"/>
    <n v="1"/>
    <n v="3"/>
    <s v="Medical"/>
    <x v="0"/>
    <n v="2020"/>
    <x v="0"/>
    <x v="1"/>
    <n v="42"/>
    <n v="3"/>
    <n v="1"/>
    <s v="Research Scientist"/>
    <x v="0"/>
    <s v="Single"/>
    <x v="230"/>
    <n v="13422"/>
    <n v="6"/>
    <x v="0"/>
    <x v="0"/>
    <n v="12"/>
    <n v="3"/>
    <n v="3"/>
    <n v="80"/>
    <n v="0"/>
    <n v="6"/>
    <n v="2"/>
    <n v="3"/>
    <n v="4"/>
    <n v="3"/>
    <n v="1"/>
    <n v="2"/>
  </r>
  <r>
    <x v="18"/>
    <x v="1"/>
    <x v="0"/>
    <x v="447"/>
    <x v="0"/>
    <n v="5"/>
    <n v="1"/>
    <s v="Medical"/>
    <x v="0"/>
    <n v="2021"/>
    <x v="1"/>
    <x v="1"/>
    <n v="58"/>
    <n v="3"/>
    <n v="1"/>
    <s v="Sales Representative"/>
    <x v="3"/>
    <s v="Single"/>
    <x v="631"/>
    <n v="25479"/>
    <n v="1"/>
    <x v="0"/>
    <x v="0"/>
    <n v="11"/>
    <n v="3"/>
    <n v="4"/>
    <n v="80"/>
    <n v="0"/>
    <n v="2"/>
    <n v="6"/>
    <n v="3"/>
    <n v="2"/>
    <n v="2"/>
    <n v="1"/>
    <n v="2"/>
  </r>
  <r>
    <x v="22"/>
    <x v="1"/>
    <x v="2"/>
    <x v="876"/>
    <x v="1"/>
    <n v="9"/>
    <n v="3"/>
    <s v="Life Sciences"/>
    <x v="0"/>
    <n v="2022"/>
    <x v="2"/>
    <x v="1"/>
    <n v="87"/>
    <n v="3"/>
    <n v="5"/>
    <s v="Manager"/>
    <x v="0"/>
    <s v="Single"/>
    <x v="1320"/>
    <n v="15302"/>
    <n v="2"/>
    <x v="0"/>
    <x v="1"/>
    <n v="13"/>
    <n v="3"/>
    <n v="3"/>
    <n v="80"/>
    <n v="0"/>
    <n v="21"/>
    <n v="3"/>
    <n v="2"/>
    <n v="6"/>
    <n v="0"/>
    <n v="1"/>
    <n v="3"/>
  </r>
  <r>
    <x v="30"/>
    <x v="0"/>
    <x v="1"/>
    <x v="92"/>
    <x v="0"/>
    <n v="9"/>
    <n v="3"/>
    <s v="Marketing"/>
    <x v="0"/>
    <n v="2023"/>
    <x v="2"/>
    <x v="1"/>
    <n v="33"/>
    <n v="3"/>
    <n v="1"/>
    <s v="Sales Representative"/>
    <x v="3"/>
    <s v="Married"/>
    <x v="1321"/>
    <n v="26956"/>
    <n v="1"/>
    <x v="0"/>
    <x v="1"/>
    <n v="19"/>
    <n v="3"/>
    <n v="1"/>
    <n v="80"/>
    <n v="1"/>
    <n v="1"/>
    <n v="3"/>
    <n v="2"/>
    <n v="1"/>
    <n v="0"/>
    <n v="1"/>
    <n v="0"/>
  </r>
  <r>
    <x v="9"/>
    <x v="1"/>
    <x v="0"/>
    <x v="870"/>
    <x v="0"/>
    <n v="3"/>
    <n v="3"/>
    <s v="Medical"/>
    <x v="0"/>
    <n v="2024"/>
    <x v="3"/>
    <x v="0"/>
    <n v="94"/>
    <n v="2"/>
    <n v="3"/>
    <s v="Sales Executive"/>
    <x v="0"/>
    <s v="Married"/>
    <x v="1322"/>
    <n v="12695"/>
    <n v="0"/>
    <x v="0"/>
    <x v="1"/>
    <n v="19"/>
    <n v="3"/>
    <n v="3"/>
    <n v="80"/>
    <n v="2"/>
    <n v="10"/>
    <n v="2"/>
    <n v="3"/>
    <n v="9"/>
    <n v="7"/>
    <n v="3"/>
    <n v="4"/>
  </r>
  <r>
    <x v="9"/>
    <x v="1"/>
    <x v="1"/>
    <x v="259"/>
    <x v="1"/>
    <n v="4"/>
    <n v="2"/>
    <s v="Life Sciences"/>
    <x v="0"/>
    <n v="2025"/>
    <x v="2"/>
    <x v="0"/>
    <n v="97"/>
    <n v="3"/>
    <n v="2"/>
    <s v="Manufacturing Director"/>
    <x v="1"/>
    <s v="Divorced"/>
    <x v="1323"/>
    <n v="9192"/>
    <n v="7"/>
    <x v="0"/>
    <x v="1"/>
    <n v="13"/>
    <n v="3"/>
    <n v="2"/>
    <n v="80"/>
    <n v="3"/>
    <n v="18"/>
    <n v="3"/>
    <n v="3"/>
    <n v="4"/>
    <n v="2"/>
    <n v="0"/>
    <n v="2"/>
  </r>
  <r>
    <x v="29"/>
    <x v="1"/>
    <x v="2"/>
    <x v="712"/>
    <x v="1"/>
    <n v="1"/>
    <n v="4"/>
    <s v="Life Sciences"/>
    <x v="0"/>
    <n v="2026"/>
    <x v="1"/>
    <x v="1"/>
    <n v="57"/>
    <n v="3"/>
    <n v="2"/>
    <s v="Healthcare Representative"/>
    <x v="2"/>
    <s v="Divorced"/>
    <x v="1324"/>
    <n v="26236"/>
    <n v="1"/>
    <x v="0"/>
    <x v="1"/>
    <n v="21"/>
    <n v="4"/>
    <n v="1"/>
    <n v="80"/>
    <n v="1"/>
    <n v="13"/>
    <n v="2"/>
    <n v="2"/>
    <n v="13"/>
    <n v="12"/>
    <n v="1"/>
    <n v="9"/>
  </r>
  <r>
    <x v="11"/>
    <x v="0"/>
    <x v="0"/>
    <x v="474"/>
    <x v="1"/>
    <n v="1"/>
    <n v="4"/>
    <s v="Medical"/>
    <x v="0"/>
    <n v="2027"/>
    <x v="3"/>
    <x v="1"/>
    <n v="36"/>
    <n v="3"/>
    <n v="1"/>
    <s v="Research Scientist"/>
    <x v="0"/>
    <s v="Married"/>
    <x v="1325"/>
    <n v="26124"/>
    <n v="9"/>
    <x v="0"/>
    <x v="0"/>
    <n v="14"/>
    <n v="3"/>
    <n v="2"/>
    <n v="80"/>
    <n v="3"/>
    <n v="4"/>
    <n v="3"/>
    <n v="4"/>
    <n v="2"/>
    <n v="2"/>
    <n v="2"/>
    <n v="2"/>
  </r>
  <r>
    <x v="19"/>
    <x v="1"/>
    <x v="0"/>
    <x v="506"/>
    <x v="1"/>
    <n v="2"/>
    <n v="3"/>
    <s v="Life Sciences"/>
    <x v="0"/>
    <n v="2031"/>
    <x v="3"/>
    <x v="1"/>
    <n v="56"/>
    <n v="3"/>
    <n v="5"/>
    <s v="Manager"/>
    <x v="2"/>
    <s v="Married"/>
    <x v="1326"/>
    <n v="17312"/>
    <n v="5"/>
    <x v="0"/>
    <x v="1"/>
    <n v="11"/>
    <n v="3"/>
    <n v="1"/>
    <n v="80"/>
    <n v="0"/>
    <n v="24"/>
    <n v="2"/>
    <n v="2"/>
    <n v="22"/>
    <n v="6"/>
    <n v="4"/>
    <n v="14"/>
  </r>
  <r>
    <x v="29"/>
    <x v="0"/>
    <x v="0"/>
    <x v="461"/>
    <x v="1"/>
    <n v="7"/>
    <n v="2"/>
    <s v="Technical Degree"/>
    <x v="0"/>
    <n v="2032"/>
    <x v="2"/>
    <x v="1"/>
    <n v="72"/>
    <n v="3"/>
    <n v="1"/>
    <s v="Laboratory Technician"/>
    <x v="2"/>
    <s v="Married"/>
    <x v="1327"/>
    <n v="3666"/>
    <n v="8"/>
    <x v="0"/>
    <x v="1"/>
    <n v="11"/>
    <n v="3"/>
    <n v="4"/>
    <n v="80"/>
    <n v="1"/>
    <n v="14"/>
    <n v="4"/>
    <n v="1"/>
    <n v="10"/>
    <n v="9"/>
    <n v="9"/>
    <n v="8"/>
  </r>
  <r>
    <x v="0"/>
    <x v="1"/>
    <x v="0"/>
    <x v="877"/>
    <x v="1"/>
    <n v="28"/>
    <n v="4"/>
    <s v="Life Sciences"/>
    <x v="0"/>
    <n v="2034"/>
    <x v="3"/>
    <x v="0"/>
    <n v="60"/>
    <n v="2"/>
    <n v="4"/>
    <s v="Manufacturing Director"/>
    <x v="1"/>
    <s v="Married"/>
    <x v="1328"/>
    <n v="5640"/>
    <n v="0"/>
    <x v="0"/>
    <x v="1"/>
    <n v="23"/>
    <n v="4"/>
    <n v="3"/>
    <n v="80"/>
    <n v="1"/>
    <n v="21"/>
    <n v="3"/>
    <n v="3"/>
    <n v="20"/>
    <n v="7"/>
    <n v="0"/>
    <n v="10"/>
  </r>
  <r>
    <x v="13"/>
    <x v="1"/>
    <x v="0"/>
    <x v="878"/>
    <x v="0"/>
    <n v="28"/>
    <n v="3"/>
    <s v="Marketing"/>
    <x v="0"/>
    <n v="2035"/>
    <x v="2"/>
    <x v="0"/>
    <n v="95"/>
    <n v="2"/>
    <n v="2"/>
    <s v="Sales Executive"/>
    <x v="2"/>
    <s v="Married"/>
    <x v="1329"/>
    <n v="8978"/>
    <n v="1"/>
    <x v="0"/>
    <x v="1"/>
    <n v="21"/>
    <n v="4"/>
    <n v="4"/>
    <n v="80"/>
    <n v="2"/>
    <n v="8"/>
    <n v="2"/>
    <n v="3"/>
    <n v="8"/>
    <n v="7"/>
    <n v="1"/>
    <n v="7"/>
  </r>
  <r>
    <x v="9"/>
    <x v="1"/>
    <x v="2"/>
    <x v="782"/>
    <x v="0"/>
    <n v="15"/>
    <n v="4"/>
    <s v="Marketing"/>
    <x v="0"/>
    <n v="2036"/>
    <x v="2"/>
    <x v="1"/>
    <n v="88"/>
    <n v="1"/>
    <n v="2"/>
    <s v="Sales Executive"/>
    <x v="0"/>
    <s v="Divorced"/>
    <x v="1330"/>
    <n v="10436"/>
    <n v="1"/>
    <x v="0"/>
    <x v="1"/>
    <n v="24"/>
    <n v="4"/>
    <n v="1"/>
    <n v="80"/>
    <n v="1"/>
    <n v="15"/>
    <n v="4"/>
    <n v="2"/>
    <n v="15"/>
    <n v="12"/>
    <n v="11"/>
    <n v="11"/>
  </r>
  <r>
    <x v="0"/>
    <x v="1"/>
    <x v="0"/>
    <x v="499"/>
    <x v="0"/>
    <n v="3"/>
    <n v="3"/>
    <s v="Life Sciences"/>
    <x v="0"/>
    <n v="2037"/>
    <x v="1"/>
    <x v="1"/>
    <n v="57"/>
    <n v="2"/>
    <n v="2"/>
    <s v="Sales Executive"/>
    <x v="1"/>
    <s v="Divorced"/>
    <x v="1331"/>
    <n v="12227"/>
    <n v="2"/>
    <x v="0"/>
    <x v="1"/>
    <n v="11"/>
    <n v="3"/>
    <n v="3"/>
    <n v="80"/>
    <n v="1"/>
    <n v="14"/>
    <n v="5"/>
    <n v="3"/>
    <n v="5"/>
    <n v="4"/>
    <n v="0"/>
    <n v="4"/>
  </r>
  <r>
    <x v="5"/>
    <x v="1"/>
    <x v="0"/>
    <x v="238"/>
    <x v="1"/>
    <n v="2"/>
    <n v="3"/>
    <s v="Technical Degree"/>
    <x v="0"/>
    <n v="2038"/>
    <x v="2"/>
    <x v="1"/>
    <n v="78"/>
    <n v="3"/>
    <n v="1"/>
    <s v="Research Scientist"/>
    <x v="3"/>
    <s v="Single"/>
    <x v="1234"/>
    <n v="11288"/>
    <n v="1"/>
    <x v="0"/>
    <x v="1"/>
    <n v="14"/>
    <n v="3"/>
    <n v="4"/>
    <n v="80"/>
    <n v="0"/>
    <n v="4"/>
    <n v="4"/>
    <n v="3"/>
    <n v="4"/>
    <n v="2"/>
    <n v="1"/>
    <n v="2"/>
  </r>
  <r>
    <x v="10"/>
    <x v="1"/>
    <x v="0"/>
    <x v="466"/>
    <x v="2"/>
    <n v="26"/>
    <n v="4"/>
    <s v="Life Sciences"/>
    <x v="0"/>
    <n v="2040"/>
    <x v="1"/>
    <x v="0"/>
    <n v="31"/>
    <n v="3"/>
    <n v="3"/>
    <s v="Human Resources"/>
    <x v="0"/>
    <s v="Single"/>
    <x v="1332"/>
    <n v="16642"/>
    <n v="1"/>
    <x v="0"/>
    <x v="0"/>
    <n v="16"/>
    <n v="3"/>
    <n v="3"/>
    <n v="80"/>
    <n v="0"/>
    <n v="9"/>
    <n v="2"/>
    <n v="3"/>
    <n v="9"/>
    <n v="0"/>
    <n v="1"/>
    <n v="7"/>
  </r>
  <r>
    <x v="8"/>
    <x v="1"/>
    <x v="0"/>
    <x v="879"/>
    <x v="0"/>
    <n v="10"/>
    <n v="2"/>
    <s v="Life Sciences"/>
    <x v="0"/>
    <n v="2041"/>
    <x v="3"/>
    <x v="0"/>
    <n v="100"/>
    <n v="3"/>
    <n v="2"/>
    <s v="Sales Executive"/>
    <x v="0"/>
    <s v="Married"/>
    <x v="798"/>
    <n v="5982"/>
    <n v="1"/>
    <x v="0"/>
    <x v="1"/>
    <n v="11"/>
    <n v="3"/>
    <n v="3"/>
    <n v="80"/>
    <n v="1"/>
    <n v="10"/>
    <n v="1"/>
    <n v="3"/>
    <n v="10"/>
    <n v="7"/>
    <n v="1"/>
    <n v="9"/>
  </r>
  <r>
    <x v="24"/>
    <x v="0"/>
    <x v="1"/>
    <x v="187"/>
    <x v="0"/>
    <n v="1"/>
    <n v="4"/>
    <s v="Life Sciences"/>
    <x v="0"/>
    <n v="2044"/>
    <x v="0"/>
    <x v="1"/>
    <n v="94"/>
    <n v="3"/>
    <n v="2"/>
    <s v="Sales Executive"/>
    <x v="2"/>
    <s v="Divorced"/>
    <x v="1333"/>
    <n v="14255"/>
    <n v="7"/>
    <x v="0"/>
    <x v="1"/>
    <n v="12"/>
    <n v="3"/>
    <n v="4"/>
    <n v="80"/>
    <n v="2"/>
    <n v="12"/>
    <n v="3"/>
    <n v="3"/>
    <n v="6"/>
    <n v="3"/>
    <n v="0"/>
    <n v="1"/>
  </r>
  <r>
    <x v="9"/>
    <x v="1"/>
    <x v="0"/>
    <x v="880"/>
    <x v="0"/>
    <n v="11"/>
    <n v="4"/>
    <s v="Marketing"/>
    <x v="0"/>
    <n v="2045"/>
    <x v="0"/>
    <x v="0"/>
    <n v="100"/>
    <n v="2"/>
    <n v="2"/>
    <s v="Sales Executive"/>
    <x v="0"/>
    <s v="Married"/>
    <x v="1334"/>
    <n v="14369"/>
    <n v="4"/>
    <x v="0"/>
    <x v="1"/>
    <n v="13"/>
    <n v="3"/>
    <n v="1"/>
    <n v="80"/>
    <n v="1"/>
    <n v="8"/>
    <n v="2"/>
    <n v="2"/>
    <n v="6"/>
    <n v="3"/>
    <n v="0"/>
    <n v="0"/>
  </r>
  <r>
    <x v="28"/>
    <x v="1"/>
    <x v="0"/>
    <x v="521"/>
    <x v="0"/>
    <n v="20"/>
    <n v="3"/>
    <s v="Life Sciences"/>
    <x v="0"/>
    <n v="2046"/>
    <x v="2"/>
    <x v="0"/>
    <n v="50"/>
    <n v="3"/>
    <n v="2"/>
    <s v="Sales Executive"/>
    <x v="2"/>
    <s v="Single"/>
    <x v="1335"/>
    <n v="23333"/>
    <n v="8"/>
    <x v="0"/>
    <x v="1"/>
    <n v="15"/>
    <n v="3"/>
    <n v="3"/>
    <n v="80"/>
    <n v="0"/>
    <n v="8"/>
    <n v="3"/>
    <n v="3"/>
    <n v="5"/>
    <n v="3"/>
    <n v="0"/>
    <n v="1"/>
  </r>
  <r>
    <x v="32"/>
    <x v="1"/>
    <x v="0"/>
    <x v="674"/>
    <x v="1"/>
    <n v="2"/>
    <n v="4"/>
    <s v="Life Sciences"/>
    <x v="0"/>
    <n v="2048"/>
    <x v="1"/>
    <x v="1"/>
    <n v="52"/>
    <n v="2"/>
    <n v="1"/>
    <s v="Research Scientist"/>
    <x v="2"/>
    <s v="Single"/>
    <x v="1336"/>
    <n v="2725"/>
    <n v="2"/>
    <x v="0"/>
    <x v="1"/>
    <n v="14"/>
    <n v="3"/>
    <n v="4"/>
    <n v="80"/>
    <n v="0"/>
    <n v="8"/>
    <n v="2"/>
    <n v="3"/>
    <n v="2"/>
    <n v="2"/>
    <n v="2"/>
    <n v="2"/>
  </r>
  <r>
    <x v="10"/>
    <x v="1"/>
    <x v="1"/>
    <x v="225"/>
    <x v="1"/>
    <n v="18"/>
    <n v="4"/>
    <s v="Life Sciences"/>
    <x v="0"/>
    <n v="2049"/>
    <x v="1"/>
    <x v="1"/>
    <n v="80"/>
    <n v="3"/>
    <n v="2"/>
    <s v="Healthcare Representative"/>
    <x v="2"/>
    <s v="Married"/>
    <x v="1337"/>
    <n v="24594"/>
    <n v="1"/>
    <x v="0"/>
    <x v="0"/>
    <n v="14"/>
    <n v="3"/>
    <n v="4"/>
    <n v="80"/>
    <n v="2"/>
    <n v="10"/>
    <n v="2"/>
    <n v="4"/>
    <n v="10"/>
    <n v="2"/>
    <n v="0"/>
    <n v="2"/>
  </r>
  <r>
    <x v="32"/>
    <x v="1"/>
    <x v="0"/>
    <x v="831"/>
    <x v="1"/>
    <n v="2"/>
    <n v="4"/>
    <s v="Medical"/>
    <x v="0"/>
    <n v="2051"/>
    <x v="1"/>
    <x v="0"/>
    <n v="98"/>
    <n v="3"/>
    <n v="1"/>
    <s v="Research Scientist"/>
    <x v="2"/>
    <s v="Married"/>
    <x v="1338"/>
    <n v="12549"/>
    <n v="2"/>
    <x v="0"/>
    <x v="1"/>
    <n v="14"/>
    <n v="3"/>
    <n v="2"/>
    <n v="80"/>
    <n v="3"/>
    <n v="20"/>
    <n v="2"/>
    <n v="3"/>
    <n v="5"/>
    <n v="3"/>
    <n v="0"/>
    <n v="2"/>
  </r>
  <r>
    <x v="10"/>
    <x v="1"/>
    <x v="0"/>
    <x v="569"/>
    <x v="1"/>
    <n v="1"/>
    <n v="4"/>
    <s v="Life Sciences"/>
    <x v="0"/>
    <n v="2052"/>
    <x v="1"/>
    <x v="0"/>
    <n v="62"/>
    <n v="1"/>
    <n v="1"/>
    <s v="Research Scientist"/>
    <x v="0"/>
    <s v="Married"/>
    <x v="1339"/>
    <n v="8952"/>
    <n v="1"/>
    <x v="0"/>
    <x v="1"/>
    <n v="12"/>
    <n v="3"/>
    <n v="4"/>
    <n v="80"/>
    <n v="1"/>
    <n v="4"/>
    <n v="5"/>
    <n v="3"/>
    <n v="4"/>
    <n v="3"/>
    <n v="1"/>
    <n v="1"/>
  </r>
  <r>
    <x v="11"/>
    <x v="1"/>
    <x v="0"/>
    <x v="881"/>
    <x v="1"/>
    <n v="13"/>
    <n v="2"/>
    <s v="Other"/>
    <x v="0"/>
    <n v="2053"/>
    <x v="2"/>
    <x v="1"/>
    <n v="46"/>
    <n v="2"/>
    <n v="2"/>
    <s v="Laboratory Technician"/>
    <x v="1"/>
    <s v="Married"/>
    <x v="717"/>
    <n v="23679"/>
    <n v="4"/>
    <x v="0"/>
    <x v="0"/>
    <n v="13"/>
    <n v="3"/>
    <n v="1"/>
    <n v="80"/>
    <n v="1"/>
    <n v="10"/>
    <n v="2"/>
    <n v="3"/>
    <n v="4"/>
    <n v="3"/>
    <n v="0"/>
    <n v="3"/>
  </r>
  <r>
    <x v="11"/>
    <x v="1"/>
    <x v="0"/>
    <x v="882"/>
    <x v="1"/>
    <n v="28"/>
    <n v="4"/>
    <s v="Medical"/>
    <x v="0"/>
    <n v="2054"/>
    <x v="2"/>
    <x v="0"/>
    <n v="73"/>
    <n v="2"/>
    <n v="1"/>
    <s v="Research Scientist"/>
    <x v="3"/>
    <s v="Single"/>
    <x v="1340"/>
    <n v="8489"/>
    <n v="1"/>
    <x v="0"/>
    <x v="1"/>
    <n v="14"/>
    <n v="3"/>
    <n v="2"/>
    <n v="80"/>
    <n v="0"/>
    <n v="5"/>
    <n v="3"/>
    <n v="1"/>
    <n v="5"/>
    <n v="4"/>
    <n v="0"/>
    <n v="4"/>
  </r>
  <r>
    <x v="24"/>
    <x v="0"/>
    <x v="0"/>
    <x v="737"/>
    <x v="0"/>
    <n v="28"/>
    <n v="3"/>
    <s v="Marketing"/>
    <x v="0"/>
    <n v="2055"/>
    <x v="2"/>
    <x v="1"/>
    <n v="39"/>
    <n v="2"/>
    <n v="3"/>
    <s v="Sales Executive"/>
    <x v="3"/>
    <s v="Divorced"/>
    <x v="1341"/>
    <n v="16586"/>
    <n v="4"/>
    <x v="0"/>
    <x v="0"/>
    <n v="13"/>
    <n v="3"/>
    <n v="2"/>
    <n v="80"/>
    <n v="1"/>
    <n v="20"/>
    <n v="3"/>
    <n v="3"/>
    <n v="3"/>
    <n v="2"/>
    <n v="2"/>
    <n v="0"/>
  </r>
  <r>
    <x v="22"/>
    <x v="1"/>
    <x v="0"/>
    <x v="558"/>
    <x v="0"/>
    <n v="24"/>
    <n v="1"/>
    <s v="Marketing"/>
    <x v="0"/>
    <n v="2056"/>
    <x v="0"/>
    <x v="0"/>
    <n v="60"/>
    <n v="2"/>
    <n v="4"/>
    <s v="Sales Executive"/>
    <x v="0"/>
    <s v="Married"/>
    <x v="1342"/>
    <n v="8828"/>
    <n v="0"/>
    <x v="0"/>
    <x v="1"/>
    <n v="11"/>
    <n v="3"/>
    <n v="1"/>
    <n v="80"/>
    <n v="1"/>
    <n v="21"/>
    <n v="2"/>
    <n v="2"/>
    <n v="20"/>
    <n v="9"/>
    <n v="9"/>
    <n v="6"/>
  </r>
  <r>
    <x v="12"/>
    <x v="1"/>
    <x v="2"/>
    <x v="673"/>
    <x v="1"/>
    <n v="5"/>
    <n v="3"/>
    <s v="Medical"/>
    <x v="0"/>
    <n v="2057"/>
    <x v="0"/>
    <x v="1"/>
    <n v="74"/>
    <n v="3"/>
    <n v="2"/>
    <s v="Manufacturing Director"/>
    <x v="3"/>
    <s v="Single"/>
    <x v="1343"/>
    <n v="3787"/>
    <n v="0"/>
    <x v="0"/>
    <x v="1"/>
    <n v="19"/>
    <n v="3"/>
    <n v="2"/>
    <n v="80"/>
    <n v="0"/>
    <n v="10"/>
    <n v="2"/>
    <n v="3"/>
    <n v="9"/>
    <n v="4"/>
    <n v="1"/>
    <n v="7"/>
  </r>
  <r>
    <x v="25"/>
    <x v="1"/>
    <x v="0"/>
    <x v="652"/>
    <x v="0"/>
    <n v="5"/>
    <n v="3"/>
    <s v="Other"/>
    <x v="0"/>
    <n v="2060"/>
    <x v="2"/>
    <x v="0"/>
    <n v="30"/>
    <n v="2"/>
    <n v="1"/>
    <s v="Sales Representative"/>
    <x v="2"/>
    <s v="Single"/>
    <x v="1344"/>
    <n v="21378"/>
    <n v="0"/>
    <x v="0"/>
    <x v="1"/>
    <n v="18"/>
    <n v="3"/>
    <n v="4"/>
    <n v="80"/>
    <n v="0"/>
    <n v="5"/>
    <n v="2"/>
    <n v="3"/>
    <n v="4"/>
    <n v="2"/>
    <n v="0"/>
    <n v="0"/>
  </r>
  <r>
    <x v="9"/>
    <x v="1"/>
    <x v="1"/>
    <x v="760"/>
    <x v="1"/>
    <n v="23"/>
    <n v="2"/>
    <s v="Medical"/>
    <x v="0"/>
    <n v="2061"/>
    <x v="1"/>
    <x v="1"/>
    <n v="41"/>
    <n v="4"/>
    <n v="2"/>
    <s v="Laboratory Technician"/>
    <x v="0"/>
    <s v="Married"/>
    <x v="1345"/>
    <n v="12290"/>
    <n v="4"/>
    <x v="0"/>
    <x v="1"/>
    <n v="17"/>
    <n v="3"/>
    <n v="3"/>
    <n v="80"/>
    <n v="1"/>
    <n v="17"/>
    <n v="3"/>
    <n v="3"/>
    <n v="5"/>
    <n v="2"/>
    <n v="0"/>
    <n v="3"/>
  </r>
  <r>
    <x v="22"/>
    <x v="1"/>
    <x v="0"/>
    <x v="883"/>
    <x v="1"/>
    <n v="6"/>
    <n v="1"/>
    <s v="Medical"/>
    <x v="0"/>
    <n v="2062"/>
    <x v="2"/>
    <x v="1"/>
    <n v="42"/>
    <n v="2"/>
    <n v="3"/>
    <s v="Healthcare Representative"/>
    <x v="3"/>
    <s v="Married"/>
    <x v="1346"/>
    <n v="21457"/>
    <n v="4"/>
    <x v="0"/>
    <x v="1"/>
    <n v="15"/>
    <n v="3"/>
    <n v="1"/>
    <n v="80"/>
    <n v="1"/>
    <n v="9"/>
    <n v="5"/>
    <n v="3"/>
    <n v="7"/>
    <n v="7"/>
    <n v="1"/>
    <n v="7"/>
  </r>
  <r>
    <x v="4"/>
    <x v="1"/>
    <x v="0"/>
    <x v="864"/>
    <x v="1"/>
    <n v="4"/>
    <n v="3"/>
    <s v="Life Sciences"/>
    <x v="0"/>
    <n v="2064"/>
    <x v="0"/>
    <x v="1"/>
    <n v="87"/>
    <n v="4"/>
    <n v="2"/>
    <s v="Manufacturing Director"/>
    <x v="1"/>
    <s v="Married"/>
    <x v="528"/>
    <n v="5174"/>
    <n v="1"/>
    <x v="0"/>
    <x v="0"/>
    <n v="20"/>
    <n v="4"/>
    <n v="2"/>
    <n v="80"/>
    <n v="1"/>
    <n v="6"/>
    <n v="0"/>
    <n v="3"/>
    <n v="6"/>
    <n v="2"/>
    <n v="0"/>
    <n v="3"/>
  </r>
  <r>
    <x v="1"/>
    <x v="1"/>
    <x v="1"/>
    <x v="884"/>
    <x v="0"/>
    <n v="2"/>
    <n v="3"/>
    <s v="Medical"/>
    <x v="0"/>
    <n v="2065"/>
    <x v="2"/>
    <x v="1"/>
    <n v="63"/>
    <n v="2"/>
    <n v="2"/>
    <s v="Sales Executive"/>
    <x v="1"/>
    <s v="Married"/>
    <x v="1347"/>
    <n v="13243"/>
    <n v="2"/>
    <x v="0"/>
    <x v="1"/>
    <n v="14"/>
    <n v="3"/>
    <n v="4"/>
    <n v="80"/>
    <n v="0"/>
    <n v="17"/>
    <n v="3"/>
    <n v="2"/>
    <n v="9"/>
    <n v="6"/>
    <n v="0"/>
    <n v="8"/>
  </r>
  <r>
    <x v="13"/>
    <x v="1"/>
    <x v="0"/>
    <x v="885"/>
    <x v="1"/>
    <n v="8"/>
    <n v="3"/>
    <s v="Medical"/>
    <x v="0"/>
    <n v="2068"/>
    <x v="0"/>
    <x v="1"/>
    <n v="82"/>
    <n v="4"/>
    <n v="2"/>
    <s v="Laboratory Technician"/>
    <x v="2"/>
    <s v="Married"/>
    <x v="1348"/>
    <n v="10228"/>
    <n v="2"/>
    <x v="0"/>
    <x v="1"/>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DEPARTMENTS BY ATTRITION" colHeaderCaption="DEPARTMENTS">
  <location ref="A3:B7" firstHeaderRow="1" firstDataRow="1" firstDataCol="1" rowPageCount="1" colPageCount="1"/>
  <pivotFields count="35">
    <pivotField showAll="0">
      <items count="8">
        <item x="0"/>
        <item x="1"/>
        <item x="2"/>
        <item x="3"/>
        <item x="4"/>
        <item x="5"/>
        <item x="6"/>
        <item t="default"/>
      </items>
    </pivotField>
    <pivotField axis="axisPage"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item="1" hier="-1"/>
  </pageFields>
  <dataFields count="1">
    <dataField name="Count of Attrition" fld="1" subtotal="count" baseField="0" baseItem="0"/>
  </dataFields>
  <formats count="2">
    <format dxfId="11">
      <pivotArea collapsedLevelsAreSubtotals="1" fieldPosition="0">
        <references count="1">
          <reference field="4" count="0"/>
        </references>
      </pivotArea>
    </format>
    <format dxfId="10">
      <pivotArea dataOnly="0" labelOnly="1" fieldPosition="0">
        <references count="1">
          <reference field="4" count="0"/>
        </references>
      </pivotArea>
    </format>
  </formats>
  <chartFormats count="2">
    <chartFormat chart="2" format="2">
      <pivotArea type="data" outline="0" fieldPosition="0">
        <references count="2">
          <reference field="4294967294" count="1" selected="0">
            <x v="0"/>
          </reference>
          <reference field="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TOTAL GENDER EMPLOYEE">
  <location ref="A22:B25" firstHeaderRow="1" firstDataRow="1" firstDataCol="1"/>
  <pivotFields count="35">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Gender" fld="11" subtotal="count" baseField="0" baseItem="0"/>
  </dataFields>
  <formats count="6">
    <format dxfId="17">
      <pivotArea dataOnly="0" labelOnly="1" outline="0" axis="axisValues" fieldPosition="0"/>
    </format>
    <format dxfId="16">
      <pivotArea dataOnly="0" labelOnly="1" outline="0" axis="axisValues" fieldPosition="0"/>
    </format>
    <format dxfId="15">
      <pivotArea collapsedLevelsAreSubtotals="1" fieldPosition="0">
        <references count="1">
          <reference field="11" count="0"/>
        </references>
      </pivotArea>
    </format>
    <format dxfId="14">
      <pivotArea dataOnly="0" labelOnly="1" fieldPosition="0">
        <references count="1">
          <reference field="11" count="0"/>
        </references>
      </pivotArea>
    </format>
    <format dxfId="13">
      <pivotArea collapsedLevelsAreSubtotals="1" fieldPosition="0">
        <references count="1">
          <reference field="11" count="0"/>
        </references>
      </pivotArea>
    </format>
    <format dxfId="12">
      <pivotArea dataOnly="0" labelOnly="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GENDER BY ATTRITION">
  <location ref="A17:B20" firstHeaderRow="1" firstDataRow="1" firstDataCol="1" rowPageCount="1" colPageCount="1"/>
  <pivotFields count="35">
    <pivotField showAll="0">
      <items count="8">
        <item x="0"/>
        <item x="1"/>
        <item x="2"/>
        <item x="3"/>
        <item x="4"/>
        <item x="5"/>
        <item x="6"/>
        <item t="default"/>
      </items>
    </pivotField>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pageFields count="1">
    <pageField fld="1" item="1" hier="-1"/>
  </pageFields>
  <dataFields count="1">
    <dataField name="Count of Attrition" fld="1" subtotal="count" baseField="0" baseItem="0"/>
  </dataFields>
  <formats count="2">
    <format dxfId="19">
      <pivotArea collapsedLevelsAreSubtotals="1" fieldPosition="0">
        <references count="1">
          <reference field="11" count="0"/>
        </references>
      </pivotArea>
    </format>
    <format dxfId="18">
      <pivotArea dataOnly="0" labelOnly="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S">
  <location ref="A9:B13" firstHeaderRow="1" firstDataRow="1" firstDataCol="1"/>
  <pivotFields count="35">
    <pivotField showAll="0">
      <items count="8">
        <item x="0"/>
        <item x="1"/>
        <item x="2"/>
        <item x="3"/>
        <item x="4"/>
        <item x="5"/>
        <item x="6"/>
        <item t="default"/>
      </items>
    </pivotField>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NUMBER OF STAFF" fld="4" subtotal="count" baseField="0" baseItem="0"/>
  </dataFields>
  <formats count="2">
    <format dxfId="21">
      <pivotArea collapsedLevelsAreSubtotals="1" fieldPosition="0">
        <references count="1">
          <reference field="4" count="0"/>
        </references>
      </pivotArea>
    </format>
    <format dxfId="20">
      <pivotArea dataOnly="0" labelOnly="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ATTRITION">
  <location ref="A3:B6" firstHeaderRow="1" firstDataRow="1" firstDataCol="1"/>
  <pivotFields count="35">
    <pivotField showAll="0">
      <items count="8">
        <item x="0"/>
        <item x="1"/>
        <item x="2"/>
        <item x="3"/>
        <item x="4"/>
        <item x="5"/>
        <item x="6"/>
        <item t="default"/>
      </items>
    </pivotField>
    <pivotField axis="axisRow"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DistanceFromHome" fld="5" subtotal="average" baseField="1" baseItem="0"/>
  </dataFields>
  <chartFormats count="9">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0"/>
          </reference>
        </references>
      </pivotArea>
    </chartFormat>
    <chartFormat chart="9" format="4">
      <pivotArea type="data" outline="0" fieldPosition="0">
        <references count="2">
          <reference field="4294967294" count="1" selected="0">
            <x v="0"/>
          </reference>
          <reference field="1"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0"/>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rowHeaderCaption="ATTRITION">
  <location ref="A3:B6" firstHeaderRow="1" firstDataRow="1" firstDataCol="1"/>
  <pivotFields count="35">
    <pivotField showAll="0">
      <items count="8">
        <item x="0"/>
        <item x="1"/>
        <item x="2"/>
        <item x="3"/>
        <item x="4"/>
        <item x="5"/>
        <item x="6"/>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2">
        <item x="0"/>
        <item t="default"/>
      </items>
    </pivotField>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OVERTIME?" fld="22" subtotal="count" baseField="0" baseItem="1385161168"/>
  </dataFields>
  <chartFormats count="6">
    <chartFormat chart="19" format="10">
      <pivotArea type="data" outline="0" fieldPosition="0">
        <references count="2">
          <reference field="4294967294" count="1" selected="0">
            <x v="0"/>
          </reference>
          <reference field="1" count="1" selected="0">
            <x v="0"/>
          </reference>
        </references>
      </pivotArea>
    </chartFormat>
    <chartFormat chart="19" format="11">
      <pivotArea type="data" outline="0" fieldPosition="0">
        <references count="2">
          <reference field="4294967294" count="1" selected="0">
            <x v="0"/>
          </reference>
          <reference field="1" count="1" selected="0">
            <x v="1"/>
          </reference>
        </references>
      </pivotArea>
    </chartFormat>
    <chartFormat chart="19" format="1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 count="1" selected="0">
            <x v="0"/>
          </reference>
        </references>
      </pivotArea>
    </chartFormat>
    <chartFormat chart="17"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3:D10" firstHeaderRow="1" firstDataRow="2" firstDataCol="1"/>
  <pivotFields count="35">
    <pivotField axis="axisRow" showAll="0">
      <items count="8">
        <item x="0"/>
        <item x="1"/>
        <item x="2"/>
        <item x="3"/>
        <item x="4"/>
        <item x="5"/>
        <item x="6"/>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
    </i>
    <i>
      <x v="2"/>
    </i>
    <i>
      <x v="3"/>
    </i>
    <i>
      <x v="4"/>
    </i>
    <i>
      <x v="5"/>
    </i>
    <i t="grand">
      <x/>
    </i>
  </rowItems>
  <colFields count="1">
    <field x="1"/>
  </colFields>
  <colItems count="3">
    <i>
      <x/>
    </i>
    <i>
      <x v="1"/>
    </i>
    <i t="grand">
      <x/>
    </i>
  </colItems>
  <dataFields count="1">
    <dataField name="Count of Attrition" fld="1" subtotal="count" baseField="0" baseItem="0"/>
  </dataFields>
  <chartFormats count="2">
    <chartFormat chart="19" format="0" series="1">
      <pivotArea type="data" outline="0" fieldPosition="0">
        <references count="2">
          <reference field="4294967294" count="1" selected="0">
            <x v="0"/>
          </reference>
          <reference field="1" count="1" selected="0">
            <x v="1"/>
          </reference>
        </references>
      </pivotArea>
    </chartFormat>
    <chartFormat chart="19" format="2"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AGE RANGE">
  <location ref="E19:F25" firstHeaderRow="1" firstDataRow="1" firstDataCol="1"/>
  <pivotFields count="35">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
    </i>
    <i>
      <x v="2"/>
    </i>
    <i>
      <x v="3"/>
    </i>
    <i>
      <x v="4"/>
    </i>
    <i>
      <x v="5"/>
    </i>
    <i t="grand">
      <x/>
    </i>
  </rowItems>
  <colItems count="1">
    <i/>
  </colItems>
  <dataFields count="1">
    <dataField name="Average of MonthlyIncome" fld="18" subtotal="average" baseField="0" baseItem="1"/>
  </dataFields>
  <formats count="1">
    <format dxfId="9">
      <pivotArea collapsedLevelsAreSubtotals="1" fieldPosition="0">
        <references count="1">
          <reference field="0" count="5">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MONTHLY INCOME">
  <location ref="A3:C14" firstHeaderRow="1" firstDataRow="2" firstDataCol="1"/>
  <pivotFields count="35">
    <pivotField showAll="0"/>
    <pivotField axis="axisCol" showAll="0">
      <items count="3">
        <item h="1" x="1"/>
        <item n="NUMBER "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v="1"/>
    </i>
    <i>
      <x v="2"/>
    </i>
    <i>
      <x v="3"/>
    </i>
    <i>
      <x v="4"/>
    </i>
    <i>
      <x v="5"/>
    </i>
    <i>
      <x v="6"/>
    </i>
    <i>
      <x v="7"/>
    </i>
    <i>
      <x v="9"/>
    </i>
    <i>
      <x v="10"/>
    </i>
    <i t="grand">
      <x/>
    </i>
  </rowItems>
  <colFields count="1">
    <field x="1"/>
  </colFields>
  <colItems count="2">
    <i>
      <x v="1"/>
    </i>
    <i t="grand">
      <x/>
    </i>
  </colItems>
  <dataFields count="1">
    <dataField name="Count of MonthlyIncome" fld="18" subtotal="count" baseField="18" baseItem="2"/>
  </dataFields>
  <formats count="5">
    <format dxfId="6">
      <pivotArea outline="0" collapsedLevelsAreSubtotals="1" fieldPosition="0"/>
    </format>
    <format dxfId="5">
      <pivotArea outline="0" collapsedLevelsAreSubtotals="1" fieldPosition="0"/>
    </format>
    <format dxfId="4">
      <pivotArea type="origin" dataOnly="0" labelOnly="1" outline="0" fieldPosition="0"/>
    </format>
    <format dxfId="3">
      <pivotArea field="18" type="button" dataOnly="0" labelOnly="1" outline="0" axis="axisRow" fieldPosition="0"/>
    </format>
    <format dxfId="2">
      <pivotArea dataOnly="0" labelOnly="1" grandRow="1" outline="0" fieldPosition="0"/>
    </format>
  </formats>
  <chartFormats count="3">
    <chartFormat chart="0"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5:F8" firstHeaderRow="1" firstDataRow="1" firstDataCol="1"/>
  <pivotFields count="35">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MonthlyIncome" fld="18" subtotal="average" baseField="1" baseItem="0"/>
  </dataFields>
  <formats count="2">
    <format dxfId="8">
      <pivotArea outline="0" collapsedLevelsAreSubtotals="1"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D9" firstHeaderRow="1" firstDataRow="2" firstDataCol="1" rowPageCount="1" colPageCount="1"/>
  <pivotFields count="35">
    <pivotField showAll="0"/>
    <pivotField axis="axisCol" multipleItemSelectionAllowed="1" showAll="0">
      <items count="3">
        <item x="1"/>
        <item x="0"/>
        <item t="default"/>
      </items>
    </pivotField>
    <pivotField showAll="0"/>
    <pivotField showAll="0"/>
    <pivotField axis="axisPage" multipleItemSelectionAllowed="1" showAll="0">
      <items count="4">
        <item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3"/>
        <item x="1"/>
        <item x="2"/>
        <item x="0"/>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Fields count="1">
    <field x="1"/>
  </colFields>
  <colItems count="3">
    <i>
      <x/>
    </i>
    <i>
      <x v="1"/>
    </i>
    <i t="grand">
      <x/>
    </i>
  </colItems>
  <pageFields count="1">
    <pageField fld="4" hier="-1"/>
  </pageFields>
  <dataFields count="1">
    <dataField name="Count of JobSatisfaction" fld="16" subtotal="count" showDataAs="percentOfRow" baseField="0" baseItem="1033823248" numFmtId="10"/>
  </dataFields>
  <conditionalFormats count="1">
    <conditionalFormat priority="2">
      <pivotAreas count="1">
        <pivotArea type="data" collapsedLevelsAreSubtotals="1" fieldPosition="0">
          <references count="3">
            <reference field="4294967294" count="1" selected="0">
              <x v="0"/>
            </reference>
            <reference field="1" count="1" selected="0">
              <x v="1"/>
            </reference>
            <reference field="16" count="4">
              <x v="0"/>
              <x v="1"/>
              <x v="2"/>
              <x v="3"/>
            </reference>
          </references>
        </pivotArea>
      </pivotAreas>
    </conditionalFormat>
  </conditionalFormats>
  <chartFormats count="6">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6" format="2" series="1">
      <pivotArea type="data" outline="0" fieldPosition="0">
        <references count="2">
          <reference field="4294967294" count="1" selected="0">
            <x v="0"/>
          </reference>
          <reference field="1" count="1" selected="0">
            <x v="0"/>
          </reference>
        </references>
      </pivotArea>
    </chartFormat>
    <chartFormat chart="16" format="3" series="1">
      <pivotArea type="data" outline="0" fieldPosition="0">
        <references count="2">
          <reference field="4294967294" count="1" selected="0">
            <x v="0"/>
          </reference>
          <reference field="1" count="1" selected="0">
            <x v="1"/>
          </reference>
        </references>
      </pivotArea>
    </chartFormat>
    <chartFormat chart="17" format="4" series="1">
      <pivotArea type="data" outline="0" fieldPosition="0">
        <references count="2">
          <reference field="4294967294" count="1" selected="0">
            <x v="0"/>
          </reference>
          <reference field="1" count="1" selected="0">
            <x v="0"/>
          </reference>
        </references>
      </pivotArea>
    </chartFormat>
    <chartFormat chart="1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C18" firstHeaderRow="1" firstDataRow="2" firstDataCol="1"/>
  <pivotFields count="35">
    <pivotField showAll="0"/>
    <pivotField axis="axisCol" showAll="0">
      <items count="3">
        <item h="1" x="1"/>
        <item x="0"/>
        <item t="default"/>
      </items>
    </pivotField>
    <pivotField showAll="0"/>
    <pivotField showAll="0"/>
    <pivotField showAll="0"/>
    <pivotField showAll="0"/>
    <pivotField showAll="0"/>
    <pivotField showAll="0"/>
    <pivotField showAll="0"/>
    <pivotField showAll="0"/>
    <pivotField axis="axisRow" dataField="1"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Fields count="1">
    <field x="1"/>
  </colFields>
  <colItems count="2">
    <i>
      <x v="1"/>
    </i>
    <i t="grand">
      <x/>
    </i>
  </colItems>
  <dataFields count="1">
    <dataField name="Count of EnvironmentSatisfaction" fld="1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9"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axis="axisRow" dataField="1"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Fields count="1">
    <field x="1"/>
  </colFields>
  <colItems count="3">
    <i>
      <x/>
    </i>
    <i>
      <x v="1"/>
    </i>
    <i t="grand">
      <x/>
    </i>
  </colItems>
  <dataFields count="1">
    <dataField name="Count of EnvironmentSatisfaction" fld="10" subtotal="count" showDataAs="percentOfRow"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data>
    <tabular pivotCacheId="1">
      <items count="3">
        <i x="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2" sourceName="Department">
  <pivotTables>
    <pivotTable tabId="23" name="PivotTable1"/>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22" name="PivotTable3"/>
  </pivotTables>
  <data>
    <tabular pivotCacheId="1">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2" cache="Slicer_Department1" caption="Department" columnCount="3" rowHeight="18288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1" caption="Department"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Department 3" cache="Slicer_Department2" caption="Department"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s>
</file>

<file path=xl/tables/table1.xml><?xml version="1.0" encoding="utf-8"?>
<table xmlns="http://schemas.openxmlformats.org/spreadsheetml/2006/main" id="3" name="Table3" displayName="Table3" ref="A1:AI962" totalsRowShown="0">
  <autoFilter ref="A1:AI962"/>
  <tableColumns count="35">
    <tableColumn id="1" name="Age"/>
    <tableColumn id="2" name="Attrition"/>
    <tableColumn id="3" name="BusinessTravel"/>
    <tableColumn id="4" name="DailyRate"/>
    <tableColumn id="5" name="Department"/>
    <tableColumn id="6" name="DistanceFromHome"/>
    <tableColumn id="7" name="Education"/>
    <tableColumn id="8" name="EducationField"/>
    <tableColumn id="9" name="EmployeeCount"/>
    <tableColumn id="10" name="EmployeeNumber"/>
    <tableColumn id="11" name="EnvironmentSatisfaction"/>
    <tableColumn id="12" name="Gender"/>
    <tableColumn id="13" name="HourlyRate"/>
    <tableColumn id="14" name="JobInvolvement"/>
    <tableColumn id="15" name="JobLevel"/>
    <tableColumn id="16" name="JobRole"/>
    <tableColumn id="17" name="JobSatisfaction"/>
    <tableColumn id="18" name="MaritalStatus"/>
    <tableColumn id="19" name="MonthlyIncome"/>
    <tableColumn id="20" name="MonthlyRate"/>
    <tableColumn id="21" name="NumCompaniesWorked"/>
    <tableColumn id="22" name="Over18"/>
    <tableColumn id="23" name="OverTime"/>
    <tableColumn id="24" name="PercentSalaryHike"/>
    <tableColumn id="25" name="PerformanceRating"/>
    <tableColumn id="26" name="RelationshipSatisfaction"/>
    <tableColumn id="27" name="StandardHours"/>
    <tableColumn id="28" name="StockOptionLevel"/>
    <tableColumn id="29" name="TotalWorkingYears"/>
    <tableColumn id="30" name="TrainingTimesLastYear"/>
    <tableColumn id="31" name="WorkLifeBalance"/>
    <tableColumn id="32" name="YearsAtCompany"/>
    <tableColumn id="33" name="YearsInCurrentRole"/>
    <tableColumn id="34" name="YearsSinceLastPromotion"/>
    <tableColumn id="35" name="YearsWithCurrManager"/>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AI1471" totalsRowShown="0">
  <autoFilter ref="A1:AI1471"/>
  <tableColumns count="35">
    <tableColumn id="1" name="Age"/>
    <tableColumn id="2" name="Attrition"/>
    <tableColumn id="3" name="BusinessTravel"/>
    <tableColumn id="4" name="DailyRate"/>
    <tableColumn id="5" name="Department"/>
    <tableColumn id="6" name="DistanceFromHome"/>
    <tableColumn id="7" name="Education"/>
    <tableColumn id="8" name="EducationField"/>
    <tableColumn id="9" name="EmployeeCount"/>
    <tableColumn id="10" name="EmployeeNumber"/>
    <tableColumn id="11" name="EnvironmentSatisfaction"/>
    <tableColumn id="12" name="Gender"/>
    <tableColumn id="13" name="HourlyRate"/>
    <tableColumn id="14" name="JobInvolvement"/>
    <tableColumn id="15" name="JobLevel"/>
    <tableColumn id="16" name="JobRole"/>
    <tableColumn id="17" name="JobSatisfaction"/>
    <tableColumn id="18" name="MaritalStatus"/>
    <tableColumn id="19" name="MonthlyIncome" dataDxfId="0"/>
    <tableColumn id="20" name="MonthlyRate"/>
    <tableColumn id="21" name="NumCompaniesWorked"/>
    <tableColumn id="22" name="Over18"/>
    <tableColumn id="23" name="OverTime"/>
    <tableColumn id="24" name="PercentSalaryHike"/>
    <tableColumn id="25" name="PerformanceRating"/>
    <tableColumn id="26" name="RelationshipSatisfaction"/>
    <tableColumn id="27" name="StandardHours"/>
    <tableColumn id="28" name="StockOptionLevel"/>
    <tableColumn id="29" name="TotalWorkingYears"/>
    <tableColumn id="30" name="TrainingTimesLastYear"/>
    <tableColumn id="31" name="WorkLifeBalance"/>
    <tableColumn id="32" name="YearsAtCompany"/>
    <tableColumn id="33" name="YearsInCurrentRole"/>
    <tableColumn id="34" name="YearsSinceLastPromotion"/>
    <tableColumn id="35"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10.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62"/>
  <sheetViews>
    <sheetView workbookViewId="0">
      <selection activeCell="C26" sqref="C26"/>
    </sheetView>
  </sheetViews>
  <sheetFormatPr defaultRowHeight="14.5" x14ac:dyDescent="0.35"/>
  <cols>
    <col min="2" max="2" width="10" customWidth="1"/>
    <col min="3" max="3" width="15.08984375" customWidth="1"/>
    <col min="4" max="4" width="10.7265625" customWidth="1"/>
    <col min="5" max="5" width="13.08984375" customWidth="1"/>
    <col min="6" max="6" width="19.36328125" customWidth="1"/>
    <col min="7" max="7" width="11.1796875" customWidth="1"/>
    <col min="8" max="8" width="15.08984375" customWidth="1"/>
    <col min="9" max="9" width="16.08984375" customWidth="1"/>
    <col min="10" max="10" width="17.81640625" customWidth="1"/>
    <col min="11" max="11" width="23.36328125" customWidth="1"/>
    <col min="12" max="12" width="9" customWidth="1"/>
    <col min="13" max="13" width="12.1796875" customWidth="1"/>
    <col min="14" max="14" width="16.08984375" customWidth="1"/>
    <col min="15" max="15" width="9.81640625" customWidth="1"/>
    <col min="16" max="16" width="9.26953125" customWidth="1"/>
    <col min="17" max="17" width="15.36328125" customWidth="1"/>
    <col min="18" max="18" width="14.1796875" customWidth="1"/>
    <col min="19" max="19" width="16.08984375" customWidth="1"/>
    <col min="20" max="20" width="13.7265625" customWidth="1"/>
    <col min="21" max="21" width="22.81640625" customWidth="1"/>
    <col min="22" max="22" width="8.81640625" customWidth="1"/>
    <col min="23" max="23" width="10.90625" customWidth="1"/>
    <col min="24" max="24" width="18" customWidth="1"/>
    <col min="25" max="25" width="18.90625" customWidth="1"/>
    <col min="26" max="26" width="22.90625" customWidth="1"/>
    <col min="27" max="27" width="15.453125" customWidth="1"/>
    <col min="28" max="28" width="17.36328125" customWidth="1"/>
    <col min="29" max="29" width="18.7265625" customWidth="1"/>
    <col min="30" max="30" width="21.54296875" customWidth="1"/>
    <col min="31" max="31" width="16.81640625" customWidth="1"/>
    <col min="32" max="32" width="17.1796875" customWidth="1"/>
    <col min="33" max="33" width="19.08984375" customWidth="1"/>
    <col min="34" max="34" width="24" customWidth="1"/>
    <col min="35" max="35" width="22.54296875"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34</v>
      </c>
      <c r="B2" t="s">
        <v>43</v>
      </c>
      <c r="C2" t="s">
        <v>36</v>
      </c>
      <c r="D2">
        <v>628</v>
      </c>
      <c r="E2" t="s">
        <v>45</v>
      </c>
      <c r="F2">
        <v>8</v>
      </c>
      <c r="G2">
        <v>3</v>
      </c>
      <c r="H2" t="s">
        <v>51</v>
      </c>
      <c r="I2">
        <v>1</v>
      </c>
      <c r="J2">
        <v>2068</v>
      </c>
      <c r="K2">
        <v>2</v>
      </c>
      <c r="L2" t="s">
        <v>46</v>
      </c>
      <c r="M2">
        <v>82</v>
      </c>
      <c r="N2">
        <v>4</v>
      </c>
      <c r="O2">
        <v>2</v>
      </c>
      <c r="P2" t="s">
        <v>50</v>
      </c>
      <c r="Q2">
        <v>3</v>
      </c>
      <c r="R2" t="s">
        <v>48</v>
      </c>
      <c r="S2">
        <v>4404</v>
      </c>
      <c r="T2">
        <v>10228</v>
      </c>
      <c r="U2">
        <v>2</v>
      </c>
      <c r="V2" t="s">
        <v>42</v>
      </c>
      <c r="W2" t="s">
        <v>43</v>
      </c>
      <c r="X2">
        <v>12</v>
      </c>
      <c r="Y2">
        <v>3</v>
      </c>
      <c r="Z2">
        <v>1</v>
      </c>
      <c r="AA2">
        <v>80</v>
      </c>
      <c r="AB2">
        <v>0</v>
      </c>
      <c r="AC2">
        <v>6</v>
      </c>
      <c r="AD2">
        <v>3</v>
      </c>
      <c r="AE2">
        <v>4</v>
      </c>
      <c r="AF2">
        <v>4</v>
      </c>
      <c r="AG2">
        <v>3</v>
      </c>
      <c r="AH2">
        <v>1</v>
      </c>
      <c r="AI2">
        <v>2</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27</v>
      </c>
      <c r="B20" t="s">
        <v>43</v>
      </c>
      <c r="C20" t="s">
        <v>36</v>
      </c>
      <c r="D20">
        <v>155</v>
      </c>
      <c r="E20" t="s">
        <v>45</v>
      </c>
      <c r="F20">
        <v>4</v>
      </c>
      <c r="G20">
        <v>3</v>
      </c>
      <c r="H20" t="s">
        <v>38</v>
      </c>
      <c r="I20">
        <v>1</v>
      </c>
      <c r="J20">
        <v>2064</v>
      </c>
      <c r="K20">
        <v>2</v>
      </c>
      <c r="L20" t="s">
        <v>46</v>
      </c>
      <c r="M20">
        <v>87</v>
      </c>
      <c r="N20">
        <v>4</v>
      </c>
      <c r="O20">
        <v>2</v>
      </c>
      <c r="P20" t="s">
        <v>53</v>
      </c>
      <c r="Q20">
        <v>2</v>
      </c>
      <c r="R20" t="s">
        <v>48</v>
      </c>
      <c r="S20">
        <v>6142</v>
      </c>
      <c r="T20">
        <v>5174</v>
      </c>
      <c r="U20">
        <v>1</v>
      </c>
      <c r="V20" t="s">
        <v>42</v>
      </c>
      <c r="W20" t="s">
        <v>35</v>
      </c>
      <c r="X20">
        <v>20</v>
      </c>
      <c r="Y20">
        <v>4</v>
      </c>
      <c r="Z20">
        <v>2</v>
      </c>
      <c r="AA20">
        <v>80</v>
      </c>
      <c r="AB20">
        <v>1</v>
      </c>
      <c r="AC20">
        <v>6</v>
      </c>
      <c r="AD20">
        <v>0</v>
      </c>
      <c r="AE20">
        <v>3</v>
      </c>
      <c r="AF20">
        <v>6</v>
      </c>
      <c r="AG20">
        <v>2</v>
      </c>
      <c r="AH20">
        <v>0</v>
      </c>
      <c r="AI20">
        <v>3</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39</v>
      </c>
      <c r="B23" t="s">
        <v>43</v>
      </c>
      <c r="C23" t="s">
        <v>36</v>
      </c>
      <c r="D23">
        <v>613</v>
      </c>
      <c r="E23" t="s">
        <v>45</v>
      </c>
      <c r="F23">
        <v>6</v>
      </c>
      <c r="G23">
        <v>1</v>
      </c>
      <c r="H23" t="s">
        <v>51</v>
      </c>
      <c r="I23">
        <v>1</v>
      </c>
      <c r="J23">
        <v>2062</v>
      </c>
      <c r="K23">
        <v>4</v>
      </c>
      <c r="L23" t="s">
        <v>46</v>
      </c>
      <c r="M23">
        <v>42</v>
      </c>
      <c r="N23">
        <v>2</v>
      </c>
      <c r="O23">
        <v>3</v>
      </c>
      <c r="P23" t="s">
        <v>54</v>
      </c>
      <c r="Q23">
        <v>1</v>
      </c>
      <c r="R23" t="s">
        <v>48</v>
      </c>
      <c r="S23">
        <v>9991</v>
      </c>
      <c r="T23">
        <v>21457</v>
      </c>
      <c r="U23">
        <v>4</v>
      </c>
      <c r="V23" t="s">
        <v>42</v>
      </c>
      <c r="W23" t="s">
        <v>43</v>
      </c>
      <c r="X23">
        <v>15</v>
      </c>
      <c r="Y23">
        <v>3</v>
      </c>
      <c r="Z23">
        <v>1</v>
      </c>
      <c r="AA23">
        <v>80</v>
      </c>
      <c r="AB23">
        <v>1</v>
      </c>
      <c r="AC23">
        <v>9</v>
      </c>
      <c r="AD23">
        <v>5</v>
      </c>
      <c r="AE23">
        <v>3</v>
      </c>
      <c r="AF23">
        <v>7</v>
      </c>
      <c r="AG23">
        <v>7</v>
      </c>
      <c r="AH23">
        <v>1</v>
      </c>
      <c r="AI23">
        <v>7</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36</v>
      </c>
      <c r="B29" t="s">
        <v>43</v>
      </c>
      <c r="C29" t="s">
        <v>44</v>
      </c>
      <c r="D29">
        <v>884</v>
      </c>
      <c r="E29" t="s">
        <v>45</v>
      </c>
      <c r="F29">
        <v>23</v>
      </c>
      <c r="G29">
        <v>2</v>
      </c>
      <c r="H29" t="s">
        <v>51</v>
      </c>
      <c r="I29">
        <v>1</v>
      </c>
      <c r="J29">
        <v>2061</v>
      </c>
      <c r="K29">
        <v>3</v>
      </c>
      <c r="L29" t="s">
        <v>46</v>
      </c>
      <c r="M29">
        <v>41</v>
      </c>
      <c r="N29">
        <v>4</v>
      </c>
      <c r="O29">
        <v>2</v>
      </c>
      <c r="P29" t="s">
        <v>50</v>
      </c>
      <c r="Q29">
        <v>4</v>
      </c>
      <c r="R29" t="s">
        <v>48</v>
      </c>
      <c r="S29">
        <v>2571</v>
      </c>
      <c r="T29">
        <v>12290</v>
      </c>
      <c r="U29">
        <v>4</v>
      </c>
      <c r="V29" t="s">
        <v>42</v>
      </c>
      <c r="W29" t="s">
        <v>43</v>
      </c>
      <c r="X29">
        <v>17</v>
      </c>
      <c r="Y29">
        <v>3</v>
      </c>
      <c r="Z29">
        <v>3</v>
      </c>
      <c r="AA29">
        <v>80</v>
      </c>
      <c r="AB29">
        <v>1</v>
      </c>
      <c r="AC29">
        <v>17</v>
      </c>
      <c r="AD29">
        <v>3</v>
      </c>
      <c r="AE29">
        <v>3</v>
      </c>
      <c r="AF29">
        <v>5</v>
      </c>
      <c r="AG29">
        <v>2</v>
      </c>
      <c r="AH29">
        <v>0</v>
      </c>
      <c r="AI29">
        <v>3</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31</v>
      </c>
      <c r="B31" t="s">
        <v>43</v>
      </c>
      <c r="C31" t="s">
        <v>55</v>
      </c>
      <c r="D31">
        <v>325</v>
      </c>
      <c r="E31" t="s">
        <v>45</v>
      </c>
      <c r="F31">
        <v>5</v>
      </c>
      <c r="G31">
        <v>3</v>
      </c>
      <c r="H31" t="s">
        <v>51</v>
      </c>
      <c r="I31">
        <v>1</v>
      </c>
      <c r="J31">
        <v>2057</v>
      </c>
      <c r="K31">
        <v>2</v>
      </c>
      <c r="L31" t="s">
        <v>46</v>
      </c>
      <c r="M31">
        <v>74</v>
      </c>
      <c r="N31">
        <v>3</v>
      </c>
      <c r="O31">
        <v>2</v>
      </c>
      <c r="P31" t="s">
        <v>53</v>
      </c>
      <c r="Q31">
        <v>1</v>
      </c>
      <c r="R31" t="s">
        <v>41</v>
      </c>
      <c r="S31">
        <v>9936</v>
      </c>
      <c r="T31">
        <v>3787</v>
      </c>
      <c r="U31">
        <v>0</v>
      </c>
      <c r="V31" t="s">
        <v>42</v>
      </c>
      <c r="W31" t="s">
        <v>43</v>
      </c>
      <c r="X31">
        <v>19</v>
      </c>
      <c r="Y31">
        <v>3</v>
      </c>
      <c r="Z31">
        <v>2</v>
      </c>
      <c r="AA31">
        <v>80</v>
      </c>
      <c r="AB31">
        <v>0</v>
      </c>
      <c r="AC31">
        <v>10</v>
      </c>
      <c r="AD31">
        <v>2</v>
      </c>
      <c r="AE31">
        <v>3</v>
      </c>
      <c r="AF31">
        <v>9</v>
      </c>
      <c r="AG31">
        <v>4</v>
      </c>
      <c r="AH31">
        <v>1</v>
      </c>
      <c r="AI31">
        <v>7</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29</v>
      </c>
      <c r="B35" t="s">
        <v>43</v>
      </c>
      <c r="C35" t="s">
        <v>36</v>
      </c>
      <c r="D35">
        <v>468</v>
      </c>
      <c r="E35" t="s">
        <v>45</v>
      </c>
      <c r="F35">
        <v>28</v>
      </c>
      <c r="G35">
        <v>4</v>
      </c>
      <c r="H35" t="s">
        <v>51</v>
      </c>
      <c r="I35">
        <v>1</v>
      </c>
      <c r="J35">
        <v>2054</v>
      </c>
      <c r="K35">
        <v>4</v>
      </c>
      <c r="L35" t="s">
        <v>39</v>
      </c>
      <c r="M35">
        <v>73</v>
      </c>
      <c r="N35">
        <v>2</v>
      </c>
      <c r="O35">
        <v>1</v>
      </c>
      <c r="P35" t="s">
        <v>47</v>
      </c>
      <c r="Q35">
        <v>1</v>
      </c>
      <c r="R35" t="s">
        <v>41</v>
      </c>
      <c r="S35">
        <v>3785</v>
      </c>
      <c r="T35">
        <v>8489</v>
      </c>
      <c r="U35">
        <v>1</v>
      </c>
      <c r="V35" t="s">
        <v>42</v>
      </c>
      <c r="W35" t="s">
        <v>43</v>
      </c>
      <c r="X35">
        <v>14</v>
      </c>
      <c r="Y35">
        <v>3</v>
      </c>
      <c r="Z35">
        <v>2</v>
      </c>
      <c r="AA35">
        <v>80</v>
      </c>
      <c r="AB35">
        <v>0</v>
      </c>
      <c r="AC35">
        <v>5</v>
      </c>
      <c r="AD35">
        <v>3</v>
      </c>
      <c r="AE35">
        <v>1</v>
      </c>
      <c r="AF35">
        <v>5</v>
      </c>
      <c r="AG35">
        <v>4</v>
      </c>
      <c r="AH35">
        <v>0</v>
      </c>
      <c r="AI35">
        <v>4</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29</v>
      </c>
      <c r="B38" t="s">
        <v>43</v>
      </c>
      <c r="C38" t="s">
        <v>36</v>
      </c>
      <c r="D38">
        <v>1378</v>
      </c>
      <c r="E38" t="s">
        <v>45</v>
      </c>
      <c r="F38">
        <v>13</v>
      </c>
      <c r="G38">
        <v>2</v>
      </c>
      <c r="H38" t="s">
        <v>49</v>
      </c>
      <c r="I38">
        <v>1</v>
      </c>
      <c r="J38">
        <v>2053</v>
      </c>
      <c r="K38">
        <v>4</v>
      </c>
      <c r="L38" t="s">
        <v>46</v>
      </c>
      <c r="M38">
        <v>46</v>
      </c>
      <c r="N38">
        <v>2</v>
      </c>
      <c r="O38">
        <v>2</v>
      </c>
      <c r="P38" t="s">
        <v>50</v>
      </c>
      <c r="Q38">
        <v>2</v>
      </c>
      <c r="R38" t="s">
        <v>48</v>
      </c>
      <c r="S38">
        <v>4025</v>
      </c>
      <c r="T38">
        <v>23679</v>
      </c>
      <c r="U38">
        <v>4</v>
      </c>
      <c r="V38" t="s">
        <v>42</v>
      </c>
      <c r="W38" t="s">
        <v>35</v>
      </c>
      <c r="X38">
        <v>13</v>
      </c>
      <c r="Y38">
        <v>3</v>
      </c>
      <c r="Z38">
        <v>1</v>
      </c>
      <c r="AA38">
        <v>80</v>
      </c>
      <c r="AB38">
        <v>1</v>
      </c>
      <c r="AC38">
        <v>10</v>
      </c>
      <c r="AD38">
        <v>2</v>
      </c>
      <c r="AE38">
        <v>3</v>
      </c>
      <c r="AF38">
        <v>4</v>
      </c>
      <c r="AG38">
        <v>3</v>
      </c>
      <c r="AH38">
        <v>0</v>
      </c>
      <c r="AI38">
        <v>3</v>
      </c>
    </row>
    <row r="39" spans="1:35" x14ac:dyDescent="0.35">
      <c r="A39">
        <v>35</v>
      </c>
      <c r="B39" t="s">
        <v>43</v>
      </c>
      <c r="C39" t="s">
        <v>36</v>
      </c>
      <c r="D39">
        <v>287</v>
      </c>
      <c r="E39" t="s">
        <v>45</v>
      </c>
      <c r="F39">
        <v>1</v>
      </c>
      <c r="G39">
        <v>4</v>
      </c>
      <c r="H39" t="s">
        <v>38</v>
      </c>
      <c r="I39">
        <v>1</v>
      </c>
      <c r="J39">
        <v>2052</v>
      </c>
      <c r="K39">
        <v>3</v>
      </c>
      <c r="L39" t="s">
        <v>39</v>
      </c>
      <c r="M39">
        <v>62</v>
      </c>
      <c r="N39">
        <v>1</v>
      </c>
      <c r="O39">
        <v>1</v>
      </c>
      <c r="P39" t="s">
        <v>47</v>
      </c>
      <c r="Q39">
        <v>4</v>
      </c>
      <c r="R39" t="s">
        <v>48</v>
      </c>
      <c r="S39">
        <v>2977</v>
      </c>
      <c r="T39">
        <v>8952</v>
      </c>
      <c r="U39">
        <v>1</v>
      </c>
      <c r="V39" t="s">
        <v>42</v>
      </c>
      <c r="W39" t="s">
        <v>43</v>
      </c>
      <c r="X39">
        <v>12</v>
      </c>
      <c r="Y39">
        <v>3</v>
      </c>
      <c r="Z39">
        <v>4</v>
      </c>
      <c r="AA39">
        <v>80</v>
      </c>
      <c r="AB39">
        <v>1</v>
      </c>
      <c r="AC39">
        <v>4</v>
      </c>
      <c r="AD39">
        <v>5</v>
      </c>
      <c r="AE39">
        <v>3</v>
      </c>
      <c r="AF39">
        <v>4</v>
      </c>
      <c r="AG39">
        <v>3</v>
      </c>
      <c r="AH39">
        <v>1</v>
      </c>
      <c r="AI39">
        <v>1</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40</v>
      </c>
      <c r="B41" t="s">
        <v>43</v>
      </c>
      <c r="C41" t="s">
        <v>36</v>
      </c>
      <c r="D41">
        <v>1194</v>
      </c>
      <c r="E41" t="s">
        <v>45</v>
      </c>
      <c r="F41">
        <v>2</v>
      </c>
      <c r="G41">
        <v>4</v>
      </c>
      <c r="H41" t="s">
        <v>51</v>
      </c>
      <c r="I41">
        <v>1</v>
      </c>
      <c r="J41">
        <v>2051</v>
      </c>
      <c r="K41">
        <v>3</v>
      </c>
      <c r="L41" t="s">
        <v>39</v>
      </c>
      <c r="M41">
        <v>98</v>
      </c>
      <c r="N41">
        <v>3</v>
      </c>
      <c r="O41">
        <v>1</v>
      </c>
      <c r="P41" t="s">
        <v>47</v>
      </c>
      <c r="Q41">
        <v>3</v>
      </c>
      <c r="R41" t="s">
        <v>48</v>
      </c>
      <c r="S41">
        <v>2001</v>
      </c>
      <c r="T41">
        <v>12549</v>
      </c>
      <c r="U41">
        <v>2</v>
      </c>
      <c r="V41" t="s">
        <v>42</v>
      </c>
      <c r="W41" t="s">
        <v>43</v>
      </c>
      <c r="X41">
        <v>14</v>
      </c>
      <c r="Y41">
        <v>3</v>
      </c>
      <c r="Z41">
        <v>2</v>
      </c>
      <c r="AA41">
        <v>80</v>
      </c>
      <c r="AB41">
        <v>3</v>
      </c>
      <c r="AC41">
        <v>20</v>
      </c>
      <c r="AD41">
        <v>2</v>
      </c>
      <c r="AE41">
        <v>3</v>
      </c>
      <c r="AF41">
        <v>5</v>
      </c>
      <c r="AG41">
        <v>3</v>
      </c>
      <c r="AH41">
        <v>0</v>
      </c>
      <c r="AI41">
        <v>2</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35</v>
      </c>
      <c r="B45" t="s">
        <v>43</v>
      </c>
      <c r="C45" t="s">
        <v>44</v>
      </c>
      <c r="D45">
        <v>1199</v>
      </c>
      <c r="E45" t="s">
        <v>45</v>
      </c>
      <c r="F45">
        <v>18</v>
      </c>
      <c r="G45">
        <v>4</v>
      </c>
      <c r="H45" t="s">
        <v>38</v>
      </c>
      <c r="I45">
        <v>1</v>
      </c>
      <c r="J45">
        <v>2049</v>
      </c>
      <c r="K45">
        <v>3</v>
      </c>
      <c r="L45" t="s">
        <v>46</v>
      </c>
      <c r="M45">
        <v>80</v>
      </c>
      <c r="N45">
        <v>3</v>
      </c>
      <c r="O45">
        <v>2</v>
      </c>
      <c r="P45" t="s">
        <v>54</v>
      </c>
      <c r="Q45">
        <v>3</v>
      </c>
      <c r="R45" t="s">
        <v>48</v>
      </c>
      <c r="S45">
        <v>5689</v>
      </c>
      <c r="T45">
        <v>24594</v>
      </c>
      <c r="U45">
        <v>1</v>
      </c>
      <c r="V45" t="s">
        <v>42</v>
      </c>
      <c r="W45" t="s">
        <v>35</v>
      </c>
      <c r="X45">
        <v>14</v>
      </c>
      <c r="Y45">
        <v>3</v>
      </c>
      <c r="Z45">
        <v>4</v>
      </c>
      <c r="AA45">
        <v>80</v>
      </c>
      <c r="AB45">
        <v>2</v>
      </c>
      <c r="AC45">
        <v>10</v>
      </c>
      <c r="AD45">
        <v>2</v>
      </c>
      <c r="AE45">
        <v>4</v>
      </c>
      <c r="AF45">
        <v>10</v>
      </c>
      <c r="AG45">
        <v>2</v>
      </c>
      <c r="AH45">
        <v>0</v>
      </c>
      <c r="AI45">
        <v>2</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40</v>
      </c>
      <c r="B48" t="s">
        <v>43</v>
      </c>
      <c r="C48" t="s">
        <v>36</v>
      </c>
      <c r="D48">
        <v>1322</v>
      </c>
      <c r="E48" t="s">
        <v>45</v>
      </c>
      <c r="F48">
        <v>2</v>
      </c>
      <c r="G48">
        <v>4</v>
      </c>
      <c r="H48" t="s">
        <v>38</v>
      </c>
      <c r="I48">
        <v>1</v>
      </c>
      <c r="J48">
        <v>2048</v>
      </c>
      <c r="K48">
        <v>3</v>
      </c>
      <c r="L48" t="s">
        <v>46</v>
      </c>
      <c r="M48">
        <v>52</v>
      </c>
      <c r="N48">
        <v>2</v>
      </c>
      <c r="O48">
        <v>1</v>
      </c>
      <c r="P48" t="s">
        <v>47</v>
      </c>
      <c r="Q48">
        <v>3</v>
      </c>
      <c r="R48" t="s">
        <v>41</v>
      </c>
      <c r="S48">
        <v>2809</v>
      </c>
      <c r="T48">
        <v>2725</v>
      </c>
      <c r="U48">
        <v>2</v>
      </c>
      <c r="V48" t="s">
        <v>42</v>
      </c>
      <c r="W48" t="s">
        <v>43</v>
      </c>
      <c r="X48">
        <v>14</v>
      </c>
      <c r="Y48">
        <v>3</v>
      </c>
      <c r="Z48">
        <v>4</v>
      </c>
      <c r="AA48">
        <v>80</v>
      </c>
      <c r="AB48">
        <v>0</v>
      </c>
      <c r="AC48">
        <v>8</v>
      </c>
      <c r="AD48">
        <v>2</v>
      </c>
      <c r="AE48">
        <v>3</v>
      </c>
      <c r="AF48">
        <v>2</v>
      </c>
      <c r="AG48">
        <v>2</v>
      </c>
      <c r="AH48">
        <v>2</v>
      </c>
      <c r="AI48">
        <v>2</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32</v>
      </c>
      <c r="B50" t="s">
        <v>43</v>
      </c>
      <c r="C50" t="s">
        <v>36</v>
      </c>
      <c r="D50">
        <v>529</v>
      </c>
      <c r="E50" t="s">
        <v>45</v>
      </c>
      <c r="F50">
        <v>2</v>
      </c>
      <c r="G50">
        <v>3</v>
      </c>
      <c r="H50" t="s">
        <v>60</v>
      </c>
      <c r="I50">
        <v>1</v>
      </c>
      <c r="J50">
        <v>2038</v>
      </c>
      <c r="K50">
        <v>4</v>
      </c>
      <c r="L50" t="s">
        <v>46</v>
      </c>
      <c r="M50">
        <v>78</v>
      </c>
      <c r="N50">
        <v>3</v>
      </c>
      <c r="O50">
        <v>1</v>
      </c>
      <c r="P50" t="s">
        <v>47</v>
      </c>
      <c r="Q50">
        <v>1</v>
      </c>
      <c r="R50" t="s">
        <v>41</v>
      </c>
      <c r="S50">
        <v>2439</v>
      </c>
      <c r="T50">
        <v>11288</v>
      </c>
      <c r="U50">
        <v>1</v>
      </c>
      <c r="V50" t="s">
        <v>42</v>
      </c>
      <c r="W50" t="s">
        <v>43</v>
      </c>
      <c r="X50">
        <v>14</v>
      </c>
      <c r="Y50">
        <v>3</v>
      </c>
      <c r="Z50">
        <v>4</v>
      </c>
      <c r="AA50">
        <v>80</v>
      </c>
      <c r="AB50">
        <v>0</v>
      </c>
      <c r="AC50">
        <v>4</v>
      </c>
      <c r="AD50">
        <v>4</v>
      </c>
      <c r="AE50">
        <v>3</v>
      </c>
      <c r="AF50">
        <v>4</v>
      </c>
      <c r="AG50">
        <v>2</v>
      </c>
      <c r="AH50">
        <v>1</v>
      </c>
      <c r="AI50">
        <v>2</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41</v>
      </c>
      <c r="B54" t="s">
        <v>43</v>
      </c>
      <c r="C54" t="s">
        <v>36</v>
      </c>
      <c r="D54">
        <v>582</v>
      </c>
      <c r="E54" t="s">
        <v>45</v>
      </c>
      <c r="F54">
        <v>28</v>
      </c>
      <c r="G54">
        <v>4</v>
      </c>
      <c r="H54" t="s">
        <v>38</v>
      </c>
      <c r="I54">
        <v>1</v>
      </c>
      <c r="J54">
        <v>2034</v>
      </c>
      <c r="K54">
        <v>1</v>
      </c>
      <c r="L54" t="s">
        <v>39</v>
      </c>
      <c r="M54">
        <v>60</v>
      </c>
      <c r="N54">
        <v>2</v>
      </c>
      <c r="O54">
        <v>4</v>
      </c>
      <c r="P54" t="s">
        <v>53</v>
      </c>
      <c r="Q54">
        <v>2</v>
      </c>
      <c r="R54" t="s">
        <v>48</v>
      </c>
      <c r="S54">
        <v>13570</v>
      </c>
      <c r="T54">
        <v>5640</v>
      </c>
      <c r="U54">
        <v>0</v>
      </c>
      <c r="V54" t="s">
        <v>42</v>
      </c>
      <c r="W54" t="s">
        <v>43</v>
      </c>
      <c r="X54">
        <v>23</v>
      </c>
      <c r="Y54">
        <v>4</v>
      </c>
      <c r="Z54">
        <v>3</v>
      </c>
      <c r="AA54">
        <v>80</v>
      </c>
      <c r="AB54">
        <v>1</v>
      </c>
      <c r="AC54">
        <v>21</v>
      </c>
      <c r="AD54">
        <v>3</v>
      </c>
      <c r="AE54">
        <v>3</v>
      </c>
      <c r="AF54">
        <v>20</v>
      </c>
      <c r="AG54">
        <v>7</v>
      </c>
      <c r="AH54">
        <v>0</v>
      </c>
      <c r="AI54">
        <v>10</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56</v>
      </c>
      <c r="B56" t="s">
        <v>35</v>
      </c>
      <c r="C56" t="s">
        <v>36</v>
      </c>
      <c r="D56">
        <v>310</v>
      </c>
      <c r="E56" t="s">
        <v>45</v>
      </c>
      <c r="F56">
        <v>7</v>
      </c>
      <c r="G56">
        <v>2</v>
      </c>
      <c r="H56" t="s">
        <v>60</v>
      </c>
      <c r="I56">
        <v>1</v>
      </c>
      <c r="J56">
        <v>2032</v>
      </c>
      <c r="K56">
        <v>4</v>
      </c>
      <c r="L56" t="s">
        <v>46</v>
      </c>
      <c r="M56">
        <v>72</v>
      </c>
      <c r="N56">
        <v>3</v>
      </c>
      <c r="O56">
        <v>1</v>
      </c>
      <c r="P56" t="s">
        <v>50</v>
      </c>
      <c r="Q56">
        <v>3</v>
      </c>
      <c r="R56" t="s">
        <v>48</v>
      </c>
      <c r="S56">
        <v>2339</v>
      </c>
      <c r="T56">
        <v>3666</v>
      </c>
      <c r="U56">
        <v>8</v>
      </c>
      <c r="V56" t="s">
        <v>42</v>
      </c>
      <c r="W56" t="s">
        <v>43</v>
      </c>
      <c r="X56">
        <v>11</v>
      </c>
      <c r="Y56">
        <v>3</v>
      </c>
      <c r="Z56">
        <v>4</v>
      </c>
      <c r="AA56">
        <v>80</v>
      </c>
      <c r="AB56">
        <v>1</v>
      </c>
      <c r="AC56">
        <v>14</v>
      </c>
      <c r="AD56">
        <v>4</v>
      </c>
      <c r="AE56">
        <v>1</v>
      </c>
      <c r="AF56">
        <v>10</v>
      </c>
      <c r="AG56">
        <v>9</v>
      </c>
      <c r="AH56">
        <v>9</v>
      </c>
      <c r="AI56">
        <v>8</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42</v>
      </c>
      <c r="B58" t="s">
        <v>43</v>
      </c>
      <c r="C58" t="s">
        <v>36</v>
      </c>
      <c r="D58">
        <v>300</v>
      </c>
      <c r="E58" t="s">
        <v>45</v>
      </c>
      <c r="F58">
        <v>2</v>
      </c>
      <c r="G58">
        <v>3</v>
      </c>
      <c r="H58" t="s">
        <v>38</v>
      </c>
      <c r="I58">
        <v>1</v>
      </c>
      <c r="J58">
        <v>2031</v>
      </c>
      <c r="K58">
        <v>1</v>
      </c>
      <c r="L58" t="s">
        <v>46</v>
      </c>
      <c r="M58">
        <v>56</v>
      </c>
      <c r="N58">
        <v>3</v>
      </c>
      <c r="O58">
        <v>5</v>
      </c>
      <c r="P58" t="s">
        <v>56</v>
      </c>
      <c r="Q58">
        <v>3</v>
      </c>
      <c r="R58" t="s">
        <v>48</v>
      </c>
      <c r="S58">
        <v>18880</v>
      </c>
      <c r="T58">
        <v>17312</v>
      </c>
      <c r="U58">
        <v>5</v>
      </c>
      <c r="V58" t="s">
        <v>42</v>
      </c>
      <c r="W58" t="s">
        <v>43</v>
      </c>
      <c r="X58">
        <v>11</v>
      </c>
      <c r="Y58">
        <v>3</v>
      </c>
      <c r="Z58">
        <v>1</v>
      </c>
      <c r="AA58">
        <v>80</v>
      </c>
      <c r="AB58">
        <v>0</v>
      </c>
      <c r="AC58">
        <v>24</v>
      </c>
      <c r="AD58">
        <v>2</v>
      </c>
      <c r="AE58">
        <v>2</v>
      </c>
      <c r="AF58">
        <v>22</v>
      </c>
      <c r="AG58">
        <v>6</v>
      </c>
      <c r="AH58">
        <v>4</v>
      </c>
      <c r="AI58">
        <v>14</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29</v>
      </c>
      <c r="B65" t="s">
        <v>35</v>
      </c>
      <c r="C65" t="s">
        <v>36</v>
      </c>
      <c r="D65">
        <v>1092</v>
      </c>
      <c r="E65" t="s">
        <v>45</v>
      </c>
      <c r="F65">
        <v>1</v>
      </c>
      <c r="G65">
        <v>4</v>
      </c>
      <c r="H65" t="s">
        <v>51</v>
      </c>
      <c r="I65">
        <v>1</v>
      </c>
      <c r="J65">
        <v>2027</v>
      </c>
      <c r="K65">
        <v>1</v>
      </c>
      <c r="L65" t="s">
        <v>46</v>
      </c>
      <c r="M65">
        <v>36</v>
      </c>
      <c r="N65">
        <v>3</v>
      </c>
      <c r="O65">
        <v>1</v>
      </c>
      <c r="P65" t="s">
        <v>47</v>
      </c>
      <c r="Q65">
        <v>4</v>
      </c>
      <c r="R65" t="s">
        <v>48</v>
      </c>
      <c r="S65">
        <v>4787</v>
      </c>
      <c r="T65">
        <v>26124</v>
      </c>
      <c r="U65">
        <v>9</v>
      </c>
      <c r="V65" t="s">
        <v>42</v>
      </c>
      <c r="W65" t="s">
        <v>35</v>
      </c>
      <c r="X65">
        <v>14</v>
      </c>
      <c r="Y65">
        <v>3</v>
      </c>
      <c r="Z65">
        <v>2</v>
      </c>
      <c r="AA65">
        <v>80</v>
      </c>
      <c r="AB65">
        <v>3</v>
      </c>
      <c r="AC65">
        <v>4</v>
      </c>
      <c r="AD65">
        <v>3</v>
      </c>
      <c r="AE65">
        <v>4</v>
      </c>
      <c r="AF65">
        <v>2</v>
      </c>
      <c r="AG65">
        <v>2</v>
      </c>
      <c r="AH65">
        <v>2</v>
      </c>
      <c r="AI65">
        <v>2</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56</v>
      </c>
      <c r="B72" t="s">
        <v>43</v>
      </c>
      <c r="C72" t="s">
        <v>55</v>
      </c>
      <c r="D72">
        <v>667</v>
      </c>
      <c r="E72" t="s">
        <v>45</v>
      </c>
      <c r="F72">
        <v>1</v>
      </c>
      <c r="G72">
        <v>4</v>
      </c>
      <c r="H72" t="s">
        <v>38</v>
      </c>
      <c r="I72">
        <v>1</v>
      </c>
      <c r="J72">
        <v>2026</v>
      </c>
      <c r="K72">
        <v>3</v>
      </c>
      <c r="L72" t="s">
        <v>46</v>
      </c>
      <c r="M72">
        <v>57</v>
      </c>
      <c r="N72">
        <v>3</v>
      </c>
      <c r="O72">
        <v>2</v>
      </c>
      <c r="P72" t="s">
        <v>54</v>
      </c>
      <c r="Q72">
        <v>3</v>
      </c>
      <c r="R72" t="s">
        <v>52</v>
      </c>
      <c r="S72">
        <v>6306</v>
      </c>
      <c r="T72">
        <v>26236</v>
      </c>
      <c r="U72">
        <v>1</v>
      </c>
      <c r="V72" t="s">
        <v>42</v>
      </c>
      <c r="W72" t="s">
        <v>43</v>
      </c>
      <c r="X72">
        <v>21</v>
      </c>
      <c r="Y72">
        <v>4</v>
      </c>
      <c r="Z72">
        <v>1</v>
      </c>
      <c r="AA72">
        <v>80</v>
      </c>
      <c r="AB72">
        <v>1</v>
      </c>
      <c r="AC72">
        <v>13</v>
      </c>
      <c r="AD72">
        <v>2</v>
      </c>
      <c r="AE72">
        <v>2</v>
      </c>
      <c r="AF72">
        <v>13</v>
      </c>
      <c r="AG72">
        <v>12</v>
      </c>
      <c r="AH72">
        <v>1</v>
      </c>
      <c r="AI72">
        <v>9</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36</v>
      </c>
      <c r="B78" t="s">
        <v>43</v>
      </c>
      <c r="C78" t="s">
        <v>44</v>
      </c>
      <c r="D78">
        <v>688</v>
      </c>
      <c r="E78" t="s">
        <v>45</v>
      </c>
      <c r="F78">
        <v>4</v>
      </c>
      <c r="G78">
        <v>2</v>
      </c>
      <c r="H78" t="s">
        <v>38</v>
      </c>
      <c r="I78">
        <v>1</v>
      </c>
      <c r="J78">
        <v>2025</v>
      </c>
      <c r="K78">
        <v>4</v>
      </c>
      <c r="L78" t="s">
        <v>39</v>
      </c>
      <c r="M78">
        <v>97</v>
      </c>
      <c r="N78">
        <v>3</v>
      </c>
      <c r="O78">
        <v>2</v>
      </c>
      <c r="P78" t="s">
        <v>53</v>
      </c>
      <c r="Q78">
        <v>2</v>
      </c>
      <c r="R78" t="s">
        <v>52</v>
      </c>
      <c r="S78">
        <v>5131</v>
      </c>
      <c r="T78">
        <v>9192</v>
      </c>
      <c r="U78">
        <v>7</v>
      </c>
      <c r="V78" t="s">
        <v>42</v>
      </c>
      <c r="W78" t="s">
        <v>43</v>
      </c>
      <c r="X78">
        <v>13</v>
      </c>
      <c r="Y78">
        <v>3</v>
      </c>
      <c r="Z78">
        <v>2</v>
      </c>
      <c r="AA78">
        <v>80</v>
      </c>
      <c r="AB78">
        <v>3</v>
      </c>
      <c r="AC78">
        <v>18</v>
      </c>
      <c r="AD78">
        <v>3</v>
      </c>
      <c r="AE78">
        <v>3</v>
      </c>
      <c r="AF78">
        <v>4</v>
      </c>
      <c r="AG78">
        <v>2</v>
      </c>
      <c r="AH78">
        <v>0</v>
      </c>
      <c r="AI78">
        <v>2</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39</v>
      </c>
      <c r="B81" t="s">
        <v>43</v>
      </c>
      <c r="C81" t="s">
        <v>55</v>
      </c>
      <c r="D81">
        <v>105</v>
      </c>
      <c r="E81" t="s">
        <v>45</v>
      </c>
      <c r="F81">
        <v>9</v>
      </c>
      <c r="G81">
        <v>3</v>
      </c>
      <c r="H81" t="s">
        <v>38</v>
      </c>
      <c r="I81">
        <v>1</v>
      </c>
      <c r="J81">
        <v>2022</v>
      </c>
      <c r="K81">
        <v>4</v>
      </c>
      <c r="L81" t="s">
        <v>46</v>
      </c>
      <c r="M81">
        <v>87</v>
      </c>
      <c r="N81">
        <v>3</v>
      </c>
      <c r="O81">
        <v>5</v>
      </c>
      <c r="P81" t="s">
        <v>56</v>
      </c>
      <c r="Q81">
        <v>4</v>
      </c>
      <c r="R81" t="s">
        <v>41</v>
      </c>
      <c r="S81">
        <v>19431</v>
      </c>
      <c r="T81">
        <v>15302</v>
      </c>
      <c r="U81">
        <v>2</v>
      </c>
      <c r="V81" t="s">
        <v>42</v>
      </c>
      <c r="W81" t="s">
        <v>43</v>
      </c>
      <c r="X81">
        <v>13</v>
      </c>
      <c r="Y81">
        <v>3</v>
      </c>
      <c r="Z81">
        <v>3</v>
      </c>
      <c r="AA81">
        <v>80</v>
      </c>
      <c r="AB81">
        <v>0</v>
      </c>
      <c r="AC81">
        <v>21</v>
      </c>
      <c r="AD81">
        <v>3</v>
      </c>
      <c r="AE81">
        <v>2</v>
      </c>
      <c r="AF81">
        <v>6</v>
      </c>
      <c r="AG81">
        <v>0</v>
      </c>
      <c r="AH81">
        <v>1</v>
      </c>
      <c r="AI81">
        <v>3</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44</v>
      </c>
      <c r="B84" t="s">
        <v>43</v>
      </c>
      <c r="C84" t="s">
        <v>36</v>
      </c>
      <c r="D84">
        <v>1037</v>
      </c>
      <c r="E84" t="s">
        <v>45</v>
      </c>
      <c r="F84">
        <v>1</v>
      </c>
      <c r="G84">
        <v>3</v>
      </c>
      <c r="H84" t="s">
        <v>51</v>
      </c>
      <c r="I84">
        <v>1</v>
      </c>
      <c r="J84">
        <v>2020</v>
      </c>
      <c r="K84">
        <v>2</v>
      </c>
      <c r="L84" t="s">
        <v>46</v>
      </c>
      <c r="M84">
        <v>42</v>
      </c>
      <c r="N84">
        <v>3</v>
      </c>
      <c r="O84">
        <v>1</v>
      </c>
      <c r="P84" t="s">
        <v>47</v>
      </c>
      <c r="Q84">
        <v>4</v>
      </c>
      <c r="R84" t="s">
        <v>41</v>
      </c>
      <c r="S84">
        <v>2436</v>
      </c>
      <c r="T84">
        <v>13422</v>
      </c>
      <c r="U84">
        <v>6</v>
      </c>
      <c r="V84" t="s">
        <v>42</v>
      </c>
      <c r="W84" t="s">
        <v>35</v>
      </c>
      <c r="X84">
        <v>12</v>
      </c>
      <c r="Y84">
        <v>3</v>
      </c>
      <c r="Z84">
        <v>3</v>
      </c>
      <c r="AA84">
        <v>80</v>
      </c>
      <c r="AB84">
        <v>0</v>
      </c>
      <c r="AC84">
        <v>6</v>
      </c>
      <c r="AD84">
        <v>2</v>
      </c>
      <c r="AE84">
        <v>3</v>
      </c>
      <c r="AF84">
        <v>4</v>
      </c>
      <c r="AG84">
        <v>3</v>
      </c>
      <c r="AH84">
        <v>1</v>
      </c>
      <c r="AI84">
        <v>2</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37</v>
      </c>
      <c r="B88" t="s">
        <v>43</v>
      </c>
      <c r="C88" t="s">
        <v>36</v>
      </c>
      <c r="D88">
        <v>161</v>
      </c>
      <c r="E88" t="s">
        <v>45</v>
      </c>
      <c r="F88">
        <v>10</v>
      </c>
      <c r="G88">
        <v>3</v>
      </c>
      <c r="H88" t="s">
        <v>38</v>
      </c>
      <c r="I88">
        <v>1</v>
      </c>
      <c r="J88">
        <v>2017</v>
      </c>
      <c r="K88">
        <v>3</v>
      </c>
      <c r="L88" t="s">
        <v>39</v>
      </c>
      <c r="M88">
        <v>42</v>
      </c>
      <c r="N88">
        <v>4</v>
      </c>
      <c r="O88">
        <v>3</v>
      </c>
      <c r="P88" t="s">
        <v>58</v>
      </c>
      <c r="Q88">
        <v>4</v>
      </c>
      <c r="R88" t="s">
        <v>48</v>
      </c>
      <c r="S88">
        <v>13744</v>
      </c>
      <c r="T88">
        <v>15471</v>
      </c>
      <c r="U88">
        <v>1</v>
      </c>
      <c r="V88" t="s">
        <v>42</v>
      </c>
      <c r="W88" t="s">
        <v>35</v>
      </c>
      <c r="X88">
        <v>25</v>
      </c>
      <c r="Y88">
        <v>4</v>
      </c>
      <c r="Z88">
        <v>1</v>
      </c>
      <c r="AA88">
        <v>80</v>
      </c>
      <c r="AB88">
        <v>1</v>
      </c>
      <c r="AC88">
        <v>16</v>
      </c>
      <c r="AD88">
        <v>2</v>
      </c>
      <c r="AE88">
        <v>3</v>
      </c>
      <c r="AF88">
        <v>16</v>
      </c>
      <c r="AG88">
        <v>11</v>
      </c>
      <c r="AH88">
        <v>6</v>
      </c>
      <c r="AI88">
        <v>8</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38</v>
      </c>
      <c r="B91" t="s">
        <v>43</v>
      </c>
      <c r="C91" t="s">
        <v>36</v>
      </c>
      <c r="D91">
        <v>201</v>
      </c>
      <c r="E91" t="s">
        <v>45</v>
      </c>
      <c r="F91">
        <v>10</v>
      </c>
      <c r="G91">
        <v>3</v>
      </c>
      <c r="H91" t="s">
        <v>51</v>
      </c>
      <c r="I91">
        <v>1</v>
      </c>
      <c r="J91">
        <v>2015</v>
      </c>
      <c r="K91">
        <v>2</v>
      </c>
      <c r="L91" t="s">
        <v>39</v>
      </c>
      <c r="M91">
        <v>99</v>
      </c>
      <c r="N91">
        <v>1</v>
      </c>
      <c r="O91">
        <v>3</v>
      </c>
      <c r="P91" t="s">
        <v>58</v>
      </c>
      <c r="Q91">
        <v>3</v>
      </c>
      <c r="R91" t="s">
        <v>48</v>
      </c>
      <c r="S91">
        <v>13206</v>
      </c>
      <c r="T91">
        <v>3376</v>
      </c>
      <c r="U91">
        <v>3</v>
      </c>
      <c r="V91" t="s">
        <v>42</v>
      </c>
      <c r="W91" t="s">
        <v>43</v>
      </c>
      <c r="X91">
        <v>12</v>
      </c>
      <c r="Y91">
        <v>3</v>
      </c>
      <c r="Z91">
        <v>1</v>
      </c>
      <c r="AA91">
        <v>80</v>
      </c>
      <c r="AB91">
        <v>1</v>
      </c>
      <c r="AC91">
        <v>20</v>
      </c>
      <c r="AD91">
        <v>3</v>
      </c>
      <c r="AE91">
        <v>3</v>
      </c>
      <c r="AF91">
        <v>18</v>
      </c>
      <c r="AG91">
        <v>16</v>
      </c>
      <c r="AH91">
        <v>1</v>
      </c>
      <c r="AI91">
        <v>11</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39</v>
      </c>
      <c r="B93" t="s">
        <v>43</v>
      </c>
      <c r="C93" t="s">
        <v>36</v>
      </c>
      <c r="D93">
        <v>116</v>
      </c>
      <c r="E93" t="s">
        <v>45</v>
      </c>
      <c r="F93">
        <v>24</v>
      </c>
      <c r="G93">
        <v>1</v>
      </c>
      <c r="H93" t="s">
        <v>38</v>
      </c>
      <c r="I93">
        <v>1</v>
      </c>
      <c r="J93">
        <v>2014</v>
      </c>
      <c r="K93">
        <v>1</v>
      </c>
      <c r="L93" t="s">
        <v>46</v>
      </c>
      <c r="M93">
        <v>52</v>
      </c>
      <c r="N93">
        <v>3</v>
      </c>
      <c r="O93">
        <v>2</v>
      </c>
      <c r="P93" t="s">
        <v>47</v>
      </c>
      <c r="Q93">
        <v>4</v>
      </c>
      <c r="R93" t="s">
        <v>41</v>
      </c>
      <c r="S93">
        <v>4108</v>
      </c>
      <c r="T93">
        <v>5340</v>
      </c>
      <c r="U93">
        <v>7</v>
      </c>
      <c r="V93" t="s">
        <v>42</v>
      </c>
      <c r="W93" t="s">
        <v>43</v>
      </c>
      <c r="X93">
        <v>13</v>
      </c>
      <c r="Y93">
        <v>3</v>
      </c>
      <c r="Z93">
        <v>1</v>
      </c>
      <c r="AA93">
        <v>80</v>
      </c>
      <c r="AB93">
        <v>0</v>
      </c>
      <c r="AC93">
        <v>18</v>
      </c>
      <c r="AD93">
        <v>2</v>
      </c>
      <c r="AE93">
        <v>3</v>
      </c>
      <c r="AF93">
        <v>7</v>
      </c>
      <c r="AG93">
        <v>7</v>
      </c>
      <c r="AH93">
        <v>1</v>
      </c>
      <c r="AI93">
        <v>7</v>
      </c>
    </row>
    <row r="94" spans="1:35" x14ac:dyDescent="0.35">
      <c r="A94">
        <v>40</v>
      </c>
      <c r="B94" t="s">
        <v>43</v>
      </c>
      <c r="C94" t="s">
        <v>36</v>
      </c>
      <c r="D94">
        <v>543</v>
      </c>
      <c r="E94" t="s">
        <v>45</v>
      </c>
      <c r="F94">
        <v>1</v>
      </c>
      <c r="G94">
        <v>4</v>
      </c>
      <c r="H94" t="s">
        <v>38</v>
      </c>
      <c r="I94">
        <v>1</v>
      </c>
      <c r="J94">
        <v>2012</v>
      </c>
      <c r="K94">
        <v>1</v>
      </c>
      <c r="L94" t="s">
        <v>46</v>
      </c>
      <c r="M94">
        <v>83</v>
      </c>
      <c r="N94">
        <v>3</v>
      </c>
      <c r="O94">
        <v>1</v>
      </c>
      <c r="P94" t="s">
        <v>50</v>
      </c>
      <c r="Q94">
        <v>4</v>
      </c>
      <c r="R94" t="s">
        <v>48</v>
      </c>
      <c r="S94">
        <v>2406</v>
      </c>
      <c r="T94">
        <v>4060</v>
      </c>
      <c r="U94">
        <v>8</v>
      </c>
      <c r="V94" t="s">
        <v>42</v>
      </c>
      <c r="W94" t="s">
        <v>43</v>
      </c>
      <c r="X94">
        <v>19</v>
      </c>
      <c r="Y94">
        <v>3</v>
      </c>
      <c r="Z94">
        <v>3</v>
      </c>
      <c r="AA94">
        <v>80</v>
      </c>
      <c r="AB94">
        <v>2</v>
      </c>
      <c r="AC94">
        <v>8</v>
      </c>
      <c r="AD94">
        <v>3</v>
      </c>
      <c r="AE94">
        <v>2</v>
      </c>
      <c r="AF94">
        <v>1</v>
      </c>
      <c r="AG94">
        <v>0</v>
      </c>
      <c r="AH94">
        <v>0</v>
      </c>
      <c r="AI94">
        <v>0</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267</v>
      </c>
      <c r="E96" t="s">
        <v>45</v>
      </c>
      <c r="F96">
        <v>29</v>
      </c>
      <c r="G96">
        <v>4</v>
      </c>
      <c r="H96" t="s">
        <v>38</v>
      </c>
      <c r="I96">
        <v>1</v>
      </c>
      <c r="J96">
        <v>2010</v>
      </c>
      <c r="K96">
        <v>3</v>
      </c>
      <c r="L96" t="s">
        <v>39</v>
      </c>
      <c r="M96">
        <v>49</v>
      </c>
      <c r="N96">
        <v>2</v>
      </c>
      <c r="O96">
        <v>1</v>
      </c>
      <c r="P96" t="s">
        <v>50</v>
      </c>
      <c r="Q96">
        <v>2</v>
      </c>
      <c r="R96" t="s">
        <v>41</v>
      </c>
      <c r="S96">
        <v>2837</v>
      </c>
      <c r="T96">
        <v>15919</v>
      </c>
      <c r="U96">
        <v>1</v>
      </c>
      <c r="V96" t="s">
        <v>42</v>
      </c>
      <c r="W96" t="s">
        <v>43</v>
      </c>
      <c r="X96">
        <v>13</v>
      </c>
      <c r="Y96">
        <v>3</v>
      </c>
      <c r="Z96">
        <v>3</v>
      </c>
      <c r="AA96">
        <v>80</v>
      </c>
      <c r="AB96">
        <v>0</v>
      </c>
      <c r="AC96">
        <v>6</v>
      </c>
      <c r="AD96">
        <v>3</v>
      </c>
      <c r="AE96">
        <v>3</v>
      </c>
      <c r="AF96">
        <v>6</v>
      </c>
      <c r="AG96">
        <v>2</v>
      </c>
      <c r="AH96">
        <v>4</v>
      </c>
      <c r="AI96">
        <v>1</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33</v>
      </c>
      <c r="B98" t="s">
        <v>43</v>
      </c>
      <c r="C98" t="s">
        <v>36</v>
      </c>
      <c r="D98">
        <v>501</v>
      </c>
      <c r="E98" t="s">
        <v>45</v>
      </c>
      <c r="F98">
        <v>15</v>
      </c>
      <c r="G98">
        <v>2</v>
      </c>
      <c r="H98" t="s">
        <v>51</v>
      </c>
      <c r="I98">
        <v>1</v>
      </c>
      <c r="J98">
        <v>2009</v>
      </c>
      <c r="K98">
        <v>2</v>
      </c>
      <c r="L98" t="s">
        <v>39</v>
      </c>
      <c r="M98">
        <v>95</v>
      </c>
      <c r="N98">
        <v>3</v>
      </c>
      <c r="O98">
        <v>2</v>
      </c>
      <c r="P98" t="s">
        <v>54</v>
      </c>
      <c r="Q98">
        <v>4</v>
      </c>
      <c r="R98" t="s">
        <v>48</v>
      </c>
      <c r="S98">
        <v>4878</v>
      </c>
      <c r="T98">
        <v>21653</v>
      </c>
      <c r="U98">
        <v>0</v>
      </c>
      <c r="V98" t="s">
        <v>42</v>
      </c>
      <c r="W98" t="s">
        <v>35</v>
      </c>
      <c r="X98">
        <v>13</v>
      </c>
      <c r="Y98">
        <v>3</v>
      </c>
      <c r="Z98">
        <v>1</v>
      </c>
      <c r="AA98">
        <v>80</v>
      </c>
      <c r="AB98">
        <v>1</v>
      </c>
      <c r="AC98">
        <v>10</v>
      </c>
      <c r="AD98">
        <v>6</v>
      </c>
      <c r="AE98">
        <v>3</v>
      </c>
      <c r="AF98">
        <v>9</v>
      </c>
      <c r="AG98">
        <v>7</v>
      </c>
      <c r="AH98">
        <v>8</v>
      </c>
      <c r="AI98">
        <v>1</v>
      </c>
    </row>
    <row r="99" spans="1:35" x14ac:dyDescent="0.35">
      <c r="A99">
        <v>35</v>
      </c>
      <c r="B99" t="s">
        <v>43</v>
      </c>
      <c r="C99" t="s">
        <v>36</v>
      </c>
      <c r="D99">
        <v>1395</v>
      </c>
      <c r="E99" t="s">
        <v>45</v>
      </c>
      <c r="F99">
        <v>9</v>
      </c>
      <c r="G99">
        <v>4</v>
      </c>
      <c r="H99" t="s">
        <v>51</v>
      </c>
      <c r="I99">
        <v>1</v>
      </c>
      <c r="J99">
        <v>2008</v>
      </c>
      <c r="K99">
        <v>2</v>
      </c>
      <c r="L99" t="s">
        <v>46</v>
      </c>
      <c r="M99">
        <v>48</v>
      </c>
      <c r="N99">
        <v>3</v>
      </c>
      <c r="O99">
        <v>2</v>
      </c>
      <c r="P99" t="s">
        <v>47</v>
      </c>
      <c r="Q99">
        <v>3</v>
      </c>
      <c r="R99" t="s">
        <v>41</v>
      </c>
      <c r="S99">
        <v>5098</v>
      </c>
      <c r="T99">
        <v>18698</v>
      </c>
      <c r="U99">
        <v>1</v>
      </c>
      <c r="V99" t="s">
        <v>42</v>
      </c>
      <c r="W99" t="s">
        <v>43</v>
      </c>
      <c r="X99">
        <v>19</v>
      </c>
      <c r="Y99">
        <v>3</v>
      </c>
      <c r="Z99">
        <v>2</v>
      </c>
      <c r="AA99">
        <v>80</v>
      </c>
      <c r="AB99">
        <v>0</v>
      </c>
      <c r="AC99">
        <v>10</v>
      </c>
      <c r="AD99">
        <v>5</v>
      </c>
      <c r="AE99">
        <v>3</v>
      </c>
      <c r="AF99">
        <v>10</v>
      </c>
      <c r="AG99">
        <v>7</v>
      </c>
      <c r="AH99">
        <v>0</v>
      </c>
      <c r="AI99">
        <v>8</v>
      </c>
    </row>
    <row r="100" spans="1:35" x14ac:dyDescent="0.35">
      <c r="A100">
        <v>22</v>
      </c>
      <c r="B100" t="s">
        <v>43</v>
      </c>
      <c r="C100" t="s">
        <v>36</v>
      </c>
      <c r="D100">
        <v>581</v>
      </c>
      <c r="E100" t="s">
        <v>45</v>
      </c>
      <c r="F100">
        <v>1</v>
      </c>
      <c r="G100">
        <v>2</v>
      </c>
      <c r="H100" t="s">
        <v>38</v>
      </c>
      <c r="I100">
        <v>1</v>
      </c>
      <c r="J100">
        <v>2007</v>
      </c>
      <c r="K100">
        <v>4</v>
      </c>
      <c r="L100" t="s">
        <v>46</v>
      </c>
      <c r="M100">
        <v>63</v>
      </c>
      <c r="N100">
        <v>3</v>
      </c>
      <c r="O100">
        <v>1</v>
      </c>
      <c r="P100" t="s">
        <v>47</v>
      </c>
      <c r="Q100">
        <v>3</v>
      </c>
      <c r="R100" t="s">
        <v>41</v>
      </c>
      <c r="S100">
        <v>3375</v>
      </c>
      <c r="T100">
        <v>17624</v>
      </c>
      <c r="U100">
        <v>0</v>
      </c>
      <c r="V100" t="s">
        <v>42</v>
      </c>
      <c r="W100" t="s">
        <v>43</v>
      </c>
      <c r="X100">
        <v>12</v>
      </c>
      <c r="Y100">
        <v>3</v>
      </c>
      <c r="Z100">
        <v>4</v>
      </c>
      <c r="AA100">
        <v>80</v>
      </c>
      <c r="AB100">
        <v>0</v>
      </c>
      <c r="AC100">
        <v>4</v>
      </c>
      <c r="AD100">
        <v>2</v>
      </c>
      <c r="AE100">
        <v>4</v>
      </c>
      <c r="AF100">
        <v>3</v>
      </c>
      <c r="AG100">
        <v>2</v>
      </c>
      <c r="AH100">
        <v>1</v>
      </c>
      <c r="AI100">
        <v>2</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35</v>
      </c>
      <c r="B102" t="s">
        <v>43</v>
      </c>
      <c r="C102" t="s">
        <v>36</v>
      </c>
      <c r="D102">
        <v>1490</v>
      </c>
      <c r="E102" t="s">
        <v>45</v>
      </c>
      <c r="F102">
        <v>11</v>
      </c>
      <c r="G102">
        <v>4</v>
      </c>
      <c r="H102" t="s">
        <v>51</v>
      </c>
      <c r="I102">
        <v>1</v>
      </c>
      <c r="J102">
        <v>2003</v>
      </c>
      <c r="K102">
        <v>4</v>
      </c>
      <c r="L102" t="s">
        <v>46</v>
      </c>
      <c r="M102">
        <v>43</v>
      </c>
      <c r="N102">
        <v>3</v>
      </c>
      <c r="O102">
        <v>1</v>
      </c>
      <c r="P102" t="s">
        <v>50</v>
      </c>
      <c r="Q102">
        <v>3</v>
      </c>
      <c r="R102" t="s">
        <v>48</v>
      </c>
      <c r="S102">
        <v>2660</v>
      </c>
      <c r="T102">
        <v>20232</v>
      </c>
      <c r="U102">
        <v>7</v>
      </c>
      <c r="V102" t="s">
        <v>42</v>
      </c>
      <c r="W102" t="s">
        <v>35</v>
      </c>
      <c r="X102">
        <v>11</v>
      </c>
      <c r="Y102">
        <v>3</v>
      </c>
      <c r="Z102">
        <v>3</v>
      </c>
      <c r="AA102">
        <v>80</v>
      </c>
      <c r="AB102">
        <v>1</v>
      </c>
      <c r="AC102">
        <v>5</v>
      </c>
      <c r="AD102">
        <v>3</v>
      </c>
      <c r="AE102">
        <v>3</v>
      </c>
      <c r="AF102">
        <v>2</v>
      </c>
      <c r="AG102">
        <v>2</v>
      </c>
      <c r="AH102">
        <v>2</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47</v>
      </c>
      <c r="B107" t="s">
        <v>43</v>
      </c>
      <c r="C107" t="s">
        <v>55</v>
      </c>
      <c r="D107">
        <v>1162</v>
      </c>
      <c r="E107" t="s">
        <v>45</v>
      </c>
      <c r="F107">
        <v>1</v>
      </c>
      <c r="G107">
        <v>1</v>
      </c>
      <c r="H107" t="s">
        <v>51</v>
      </c>
      <c r="I107">
        <v>1</v>
      </c>
      <c r="J107">
        <v>2000</v>
      </c>
      <c r="K107">
        <v>3</v>
      </c>
      <c r="L107" t="s">
        <v>39</v>
      </c>
      <c r="M107">
        <v>98</v>
      </c>
      <c r="N107">
        <v>3</v>
      </c>
      <c r="O107">
        <v>3</v>
      </c>
      <c r="P107" t="s">
        <v>58</v>
      </c>
      <c r="Q107">
        <v>2</v>
      </c>
      <c r="R107" t="s">
        <v>48</v>
      </c>
      <c r="S107">
        <v>11957</v>
      </c>
      <c r="T107">
        <v>17231</v>
      </c>
      <c r="U107">
        <v>0</v>
      </c>
      <c r="V107" t="s">
        <v>42</v>
      </c>
      <c r="W107" t="s">
        <v>43</v>
      </c>
      <c r="X107">
        <v>18</v>
      </c>
      <c r="Y107">
        <v>3</v>
      </c>
      <c r="Z107">
        <v>1</v>
      </c>
      <c r="AA107">
        <v>80</v>
      </c>
      <c r="AB107">
        <v>2</v>
      </c>
      <c r="AC107">
        <v>14</v>
      </c>
      <c r="AD107">
        <v>3</v>
      </c>
      <c r="AE107">
        <v>1</v>
      </c>
      <c r="AF107">
        <v>13</v>
      </c>
      <c r="AG107">
        <v>8</v>
      </c>
      <c r="AH107">
        <v>5</v>
      </c>
      <c r="AI107">
        <v>12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41</v>
      </c>
      <c r="B109" t="s">
        <v>43</v>
      </c>
      <c r="C109" t="s">
        <v>36</v>
      </c>
      <c r="D109">
        <v>642</v>
      </c>
      <c r="E109" t="s">
        <v>45</v>
      </c>
      <c r="F109">
        <v>1</v>
      </c>
      <c r="G109">
        <v>3</v>
      </c>
      <c r="H109" t="s">
        <v>38</v>
      </c>
      <c r="I109">
        <v>1</v>
      </c>
      <c r="J109">
        <v>1999</v>
      </c>
      <c r="K109">
        <v>4</v>
      </c>
      <c r="L109" t="s">
        <v>46</v>
      </c>
      <c r="M109">
        <v>76</v>
      </c>
      <c r="N109">
        <v>3</v>
      </c>
      <c r="O109">
        <v>1</v>
      </c>
      <c r="P109" t="s">
        <v>47</v>
      </c>
      <c r="Q109">
        <v>4</v>
      </c>
      <c r="R109" t="s">
        <v>48</v>
      </c>
      <c r="S109">
        <v>2782</v>
      </c>
      <c r="T109">
        <v>21412</v>
      </c>
      <c r="U109">
        <v>3</v>
      </c>
      <c r="V109" t="s">
        <v>42</v>
      </c>
      <c r="W109" t="s">
        <v>43</v>
      </c>
      <c r="X109">
        <v>22</v>
      </c>
      <c r="Y109">
        <v>4</v>
      </c>
      <c r="Z109">
        <v>1</v>
      </c>
      <c r="AA109">
        <v>80</v>
      </c>
      <c r="AB109">
        <v>1</v>
      </c>
      <c r="AC109">
        <v>12</v>
      </c>
      <c r="AD109">
        <v>3</v>
      </c>
      <c r="AE109">
        <v>3</v>
      </c>
      <c r="AF109">
        <v>5</v>
      </c>
      <c r="AG109">
        <v>3</v>
      </c>
      <c r="AH109">
        <v>1</v>
      </c>
      <c r="AI109">
        <v>0</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42</v>
      </c>
      <c r="B114" t="s">
        <v>43</v>
      </c>
      <c r="C114" t="s">
        <v>36</v>
      </c>
      <c r="D114">
        <v>557</v>
      </c>
      <c r="E114" t="s">
        <v>45</v>
      </c>
      <c r="F114">
        <v>18</v>
      </c>
      <c r="G114">
        <v>4</v>
      </c>
      <c r="H114" t="s">
        <v>38</v>
      </c>
      <c r="I114">
        <v>1</v>
      </c>
      <c r="J114">
        <v>1998</v>
      </c>
      <c r="K114">
        <v>4</v>
      </c>
      <c r="L114" t="s">
        <v>46</v>
      </c>
      <c r="M114">
        <v>35</v>
      </c>
      <c r="N114">
        <v>3</v>
      </c>
      <c r="O114">
        <v>2</v>
      </c>
      <c r="P114" t="s">
        <v>47</v>
      </c>
      <c r="Q114">
        <v>1</v>
      </c>
      <c r="R114" t="s">
        <v>52</v>
      </c>
      <c r="S114">
        <v>5410</v>
      </c>
      <c r="T114">
        <v>11189</v>
      </c>
      <c r="U114">
        <v>6</v>
      </c>
      <c r="V114" t="s">
        <v>42</v>
      </c>
      <c r="W114" t="s">
        <v>35</v>
      </c>
      <c r="X114">
        <v>17</v>
      </c>
      <c r="Y114">
        <v>3</v>
      </c>
      <c r="Z114">
        <v>3</v>
      </c>
      <c r="AA114">
        <v>80</v>
      </c>
      <c r="AB114">
        <v>1</v>
      </c>
      <c r="AC114">
        <v>9</v>
      </c>
      <c r="AD114">
        <v>3</v>
      </c>
      <c r="AE114">
        <v>2</v>
      </c>
      <c r="AF114">
        <v>4</v>
      </c>
      <c r="AG114">
        <v>3</v>
      </c>
      <c r="AH114">
        <v>1</v>
      </c>
      <c r="AI114">
        <v>2</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38</v>
      </c>
      <c r="B117" t="s">
        <v>43</v>
      </c>
      <c r="C117" t="s">
        <v>44</v>
      </c>
      <c r="D117">
        <v>508</v>
      </c>
      <c r="E117" t="s">
        <v>45</v>
      </c>
      <c r="F117">
        <v>6</v>
      </c>
      <c r="G117">
        <v>4</v>
      </c>
      <c r="H117" t="s">
        <v>38</v>
      </c>
      <c r="I117">
        <v>1</v>
      </c>
      <c r="J117">
        <v>1997</v>
      </c>
      <c r="K117">
        <v>1</v>
      </c>
      <c r="L117" t="s">
        <v>46</v>
      </c>
      <c r="M117">
        <v>72</v>
      </c>
      <c r="N117">
        <v>2</v>
      </c>
      <c r="O117">
        <v>2</v>
      </c>
      <c r="P117" t="s">
        <v>53</v>
      </c>
      <c r="Q117">
        <v>3</v>
      </c>
      <c r="R117" t="s">
        <v>48</v>
      </c>
      <c r="S117">
        <v>5321</v>
      </c>
      <c r="T117">
        <v>14284</v>
      </c>
      <c r="U117">
        <v>2</v>
      </c>
      <c r="V117" t="s">
        <v>42</v>
      </c>
      <c r="W117" t="s">
        <v>43</v>
      </c>
      <c r="X117">
        <v>11</v>
      </c>
      <c r="Y117">
        <v>3</v>
      </c>
      <c r="Z117">
        <v>4</v>
      </c>
      <c r="AA117">
        <v>80</v>
      </c>
      <c r="AB117">
        <v>1</v>
      </c>
      <c r="AC117">
        <v>10</v>
      </c>
      <c r="AD117">
        <v>1</v>
      </c>
      <c r="AE117">
        <v>3</v>
      </c>
      <c r="AF117">
        <v>8</v>
      </c>
      <c r="AG117">
        <v>3</v>
      </c>
      <c r="AH117">
        <v>7</v>
      </c>
      <c r="AI117">
        <v>7</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33</v>
      </c>
      <c r="B119" t="s">
        <v>43</v>
      </c>
      <c r="C119" t="s">
        <v>55</v>
      </c>
      <c r="D119">
        <v>1313</v>
      </c>
      <c r="E119" t="s">
        <v>45</v>
      </c>
      <c r="F119">
        <v>1</v>
      </c>
      <c r="G119">
        <v>2</v>
      </c>
      <c r="H119" t="s">
        <v>51</v>
      </c>
      <c r="I119">
        <v>1</v>
      </c>
      <c r="J119">
        <v>1994</v>
      </c>
      <c r="K119">
        <v>2</v>
      </c>
      <c r="L119" t="s">
        <v>46</v>
      </c>
      <c r="M119">
        <v>59</v>
      </c>
      <c r="N119">
        <v>2</v>
      </c>
      <c r="O119">
        <v>1</v>
      </c>
      <c r="P119" t="s">
        <v>50</v>
      </c>
      <c r="Q119">
        <v>3</v>
      </c>
      <c r="R119" t="s">
        <v>52</v>
      </c>
      <c r="S119">
        <v>2008</v>
      </c>
      <c r="T119">
        <v>20439</v>
      </c>
      <c r="U119">
        <v>1</v>
      </c>
      <c r="V119" t="s">
        <v>42</v>
      </c>
      <c r="W119" t="s">
        <v>43</v>
      </c>
      <c r="X119">
        <v>12</v>
      </c>
      <c r="Y119">
        <v>3</v>
      </c>
      <c r="Z119">
        <v>3</v>
      </c>
      <c r="AA119">
        <v>80</v>
      </c>
      <c r="AB119">
        <v>3</v>
      </c>
      <c r="AC119">
        <v>1</v>
      </c>
      <c r="AD119">
        <v>2</v>
      </c>
      <c r="AE119">
        <v>2</v>
      </c>
      <c r="AF119">
        <v>1</v>
      </c>
      <c r="AG119">
        <v>1</v>
      </c>
      <c r="AH119">
        <v>0</v>
      </c>
      <c r="AI119">
        <v>0</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47</v>
      </c>
      <c r="B121" t="s">
        <v>43</v>
      </c>
      <c r="C121" t="s">
        <v>36</v>
      </c>
      <c r="D121">
        <v>1180</v>
      </c>
      <c r="E121" t="s">
        <v>45</v>
      </c>
      <c r="F121">
        <v>25</v>
      </c>
      <c r="G121">
        <v>3</v>
      </c>
      <c r="H121" t="s">
        <v>51</v>
      </c>
      <c r="I121">
        <v>1</v>
      </c>
      <c r="J121">
        <v>1993</v>
      </c>
      <c r="K121">
        <v>1</v>
      </c>
      <c r="L121" t="s">
        <v>46</v>
      </c>
      <c r="M121">
        <v>84</v>
      </c>
      <c r="N121">
        <v>3</v>
      </c>
      <c r="O121">
        <v>3</v>
      </c>
      <c r="P121" t="s">
        <v>54</v>
      </c>
      <c r="Q121">
        <v>3</v>
      </c>
      <c r="R121" t="s">
        <v>41</v>
      </c>
      <c r="S121">
        <v>8633</v>
      </c>
      <c r="T121">
        <v>13084</v>
      </c>
      <c r="U121">
        <v>2</v>
      </c>
      <c r="V121" t="s">
        <v>42</v>
      </c>
      <c r="W121" t="s">
        <v>43</v>
      </c>
      <c r="X121">
        <v>23</v>
      </c>
      <c r="Y121">
        <v>4</v>
      </c>
      <c r="Z121">
        <v>2</v>
      </c>
      <c r="AA121">
        <v>80</v>
      </c>
      <c r="AB121">
        <v>0</v>
      </c>
      <c r="AC121">
        <v>25</v>
      </c>
      <c r="AD121">
        <v>3</v>
      </c>
      <c r="AE121">
        <v>3</v>
      </c>
      <c r="AF121">
        <v>17</v>
      </c>
      <c r="AG121">
        <v>14</v>
      </c>
      <c r="AH121">
        <v>12</v>
      </c>
      <c r="AI121">
        <v>11</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25</v>
      </c>
      <c r="B123" t="s">
        <v>43</v>
      </c>
      <c r="C123" t="s">
        <v>36</v>
      </c>
      <c r="D123">
        <v>977</v>
      </c>
      <c r="E123" t="s">
        <v>45</v>
      </c>
      <c r="F123">
        <v>2</v>
      </c>
      <c r="G123">
        <v>1</v>
      </c>
      <c r="H123" t="s">
        <v>49</v>
      </c>
      <c r="I123">
        <v>1</v>
      </c>
      <c r="J123">
        <v>1992</v>
      </c>
      <c r="K123">
        <v>4</v>
      </c>
      <c r="L123" t="s">
        <v>46</v>
      </c>
      <c r="M123">
        <v>57</v>
      </c>
      <c r="N123">
        <v>3</v>
      </c>
      <c r="O123">
        <v>1</v>
      </c>
      <c r="P123" t="s">
        <v>50</v>
      </c>
      <c r="Q123">
        <v>3</v>
      </c>
      <c r="R123" t="s">
        <v>52</v>
      </c>
      <c r="S123">
        <v>3977</v>
      </c>
      <c r="T123">
        <v>7298</v>
      </c>
      <c r="U123">
        <v>6</v>
      </c>
      <c r="V123" t="s">
        <v>42</v>
      </c>
      <c r="W123" t="s">
        <v>35</v>
      </c>
      <c r="X123">
        <v>19</v>
      </c>
      <c r="Y123">
        <v>3</v>
      </c>
      <c r="Z123">
        <v>3</v>
      </c>
      <c r="AA123">
        <v>80</v>
      </c>
      <c r="AB123">
        <v>1</v>
      </c>
      <c r="AC123">
        <v>7</v>
      </c>
      <c r="AD123">
        <v>2</v>
      </c>
      <c r="AE123">
        <v>2</v>
      </c>
      <c r="AF123">
        <v>2</v>
      </c>
      <c r="AG123">
        <v>2</v>
      </c>
      <c r="AH123">
        <v>0</v>
      </c>
      <c r="AI123">
        <v>2</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30</v>
      </c>
      <c r="B126" t="s">
        <v>43</v>
      </c>
      <c r="C126" t="s">
        <v>36</v>
      </c>
      <c r="D126">
        <v>911</v>
      </c>
      <c r="E126" t="s">
        <v>45</v>
      </c>
      <c r="F126">
        <v>1</v>
      </c>
      <c r="G126">
        <v>2</v>
      </c>
      <c r="H126" t="s">
        <v>51</v>
      </c>
      <c r="I126">
        <v>1</v>
      </c>
      <c r="J126">
        <v>1989</v>
      </c>
      <c r="K126">
        <v>4</v>
      </c>
      <c r="L126" t="s">
        <v>46</v>
      </c>
      <c r="M126">
        <v>76</v>
      </c>
      <c r="N126">
        <v>3</v>
      </c>
      <c r="O126">
        <v>1</v>
      </c>
      <c r="P126" t="s">
        <v>50</v>
      </c>
      <c r="Q126">
        <v>2</v>
      </c>
      <c r="R126" t="s">
        <v>48</v>
      </c>
      <c r="S126">
        <v>3748</v>
      </c>
      <c r="T126">
        <v>4077</v>
      </c>
      <c r="U126">
        <v>1</v>
      </c>
      <c r="V126" t="s">
        <v>42</v>
      </c>
      <c r="W126" t="s">
        <v>43</v>
      </c>
      <c r="X126">
        <v>13</v>
      </c>
      <c r="Y126">
        <v>3</v>
      </c>
      <c r="Z126">
        <v>3</v>
      </c>
      <c r="AA126">
        <v>80</v>
      </c>
      <c r="AB126">
        <v>0</v>
      </c>
      <c r="AC126">
        <v>12</v>
      </c>
      <c r="AD126">
        <v>6</v>
      </c>
      <c r="AE126">
        <v>2</v>
      </c>
      <c r="AF126">
        <v>12</v>
      </c>
      <c r="AG126">
        <v>8</v>
      </c>
      <c r="AH126">
        <v>1</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40</v>
      </c>
      <c r="B129" t="s">
        <v>43</v>
      </c>
      <c r="C129" t="s">
        <v>44</v>
      </c>
      <c r="D129">
        <v>692</v>
      </c>
      <c r="E129" t="s">
        <v>45</v>
      </c>
      <c r="F129">
        <v>11</v>
      </c>
      <c r="G129">
        <v>3</v>
      </c>
      <c r="H129" t="s">
        <v>60</v>
      </c>
      <c r="I129">
        <v>1</v>
      </c>
      <c r="J129">
        <v>1985</v>
      </c>
      <c r="K129">
        <v>4</v>
      </c>
      <c r="L129" t="s">
        <v>39</v>
      </c>
      <c r="M129">
        <v>73</v>
      </c>
      <c r="N129">
        <v>3</v>
      </c>
      <c r="O129">
        <v>2</v>
      </c>
      <c r="P129" t="s">
        <v>50</v>
      </c>
      <c r="Q129">
        <v>3</v>
      </c>
      <c r="R129" t="s">
        <v>48</v>
      </c>
      <c r="S129">
        <v>6323</v>
      </c>
      <c r="T129">
        <v>26849</v>
      </c>
      <c r="U129">
        <v>1</v>
      </c>
      <c r="V129" t="s">
        <v>42</v>
      </c>
      <c r="W129" t="s">
        <v>43</v>
      </c>
      <c r="X129">
        <v>11</v>
      </c>
      <c r="Y129">
        <v>3</v>
      </c>
      <c r="Z129">
        <v>1</v>
      </c>
      <c r="AA129">
        <v>80</v>
      </c>
      <c r="AB129">
        <v>1</v>
      </c>
      <c r="AC129">
        <v>10</v>
      </c>
      <c r="AD129">
        <v>2</v>
      </c>
      <c r="AE129">
        <v>4</v>
      </c>
      <c r="AF129">
        <v>10</v>
      </c>
      <c r="AG129">
        <v>9</v>
      </c>
      <c r="AH129">
        <v>9</v>
      </c>
      <c r="AI129">
        <v>4</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23</v>
      </c>
      <c r="B133" t="s">
        <v>43</v>
      </c>
      <c r="C133" t="s">
        <v>36</v>
      </c>
      <c r="D133">
        <v>571</v>
      </c>
      <c r="E133" t="s">
        <v>45</v>
      </c>
      <c r="F133">
        <v>12</v>
      </c>
      <c r="G133">
        <v>2</v>
      </c>
      <c r="H133" t="s">
        <v>49</v>
      </c>
      <c r="I133">
        <v>1</v>
      </c>
      <c r="J133">
        <v>1982</v>
      </c>
      <c r="K133">
        <v>4</v>
      </c>
      <c r="L133" t="s">
        <v>46</v>
      </c>
      <c r="M133">
        <v>78</v>
      </c>
      <c r="N133">
        <v>3</v>
      </c>
      <c r="O133">
        <v>1</v>
      </c>
      <c r="P133" t="s">
        <v>50</v>
      </c>
      <c r="Q133">
        <v>4</v>
      </c>
      <c r="R133" t="s">
        <v>41</v>
      </c>
      <c r="S133">
        <v>2647</v>
      </c>
      <c r="T133">
        <v>13672</v>
      </c>
      <c r="U133">
        <v>1</v>
      </c>
      <c r="V133" t="s">
        <v>42</v>
      </c>
      <c r="W133" t="s">
        <v>43</v>
      </c>
      <c r="X133">
        <v>13</v>
      </c>
      <c r="Y133">
        <v>3</v>
      </c>
      <c r="Z133">
        <v>3</v>
      </c>
      <c r="AA133">
        <v>80</v>
      </c>
      <c r="AB133">
        <v>0</v>
      </c>
      <c r="AC133">
        <v>5</v>
      </c>
      <c r="AD133">
        <v>6</v>
      </c>
      <c r="AE133">
        <v>4</v>
      </c>
      <c r="AF133">
        <v>5</v>
      </c>
      <c r="AG133">
        <v>2</v>
      </c>
      <c r="AH133">
        <v>1</v>
      </c>
      <c r="AI133">
        <v>4</v>
      </c>
    </row>
    <row r="134" spans="1:35" x14ac:dyDescent="0.35">
      <c r="A134">
        <v>24</v>
      </c>
      <c r="B134" t="s">
        <v>43</v>
      </c>
      <c r="C134" t="s">
        <v>36</v>
      </c>
      <c r="D134">
        <v>771</v>
      </c>
      <c r="E134" t="s">
        <v>45</v>
      </c>
      <c r="F134">
        <v>1</v>
      </c>
      <c r="G134">
        <v>2</v>
      </c>
      <c r="H134" t="s">
        <v>38</v>
      </c>
      <c r="I134">
        <v>1</v>
      </c>
      <c r="J134">
        <v>1981</v>
      </c>
      <c r="K134">
        <v>2</v>
      </c>
      <c r="L134" t="s">
        <v>46</v>
      </c>
      <c r="M134">
        <v>45</v>
      </c>
      <c r="N134">
        <v>2</v>
      </c>
      <c r="O134">
        <v>2</v>
      </c>
      <c r="P134" t="s">
        <v>54</v>
      </c>
      <c r="Q134">
        <v>3</v>
      </c>
      <c r="R134" t="s">
        <v>41</v>
      </c>
      <c r="S134">
        <v>4617</v>
      </c>
      <c r="T134">
        <v>14120</v>
      </c>
      <c r="U134">
        <v>1</v>
      </c>
      <c r="V134" t="s">
        <v>42</v>
      </c>
      <c r="W134" t="s">
        <v>43</v>
      </c>
      <c r="X134">
        <v>12</v>
      </c>
      <c r="Y134">
        <v>3</v>
      </c>
      <c r="Z134">
        <v>2</v>
      </c>
      <c r="AA134">
        <v>80</v>
      </c>
      <c r="AB134">
        <v>0</v>
      </c>
      <c r="AC134">
        <v>4</v>
      </c>
      <c r="AD134">
        <v>2</v>
      </c>
      <c r="AE134">
        <v>2</v>
      </c>
      <c r="AF134">
        <v>4</v>
      </c>
      <c r="AG134">
        <v>3</v>
      </c>
      <c r="AH134">
        <v>1</v>
      </c>
      <c r="AI134">
        <v>2</v>
      </c>
    </row>
    <row r="135" spans="1:35" x14ac:dyDescent="0.35">
      <c r="A135">
        <v>54</v>
      </c>
      <c r="B135" t="s">
        <v>43</v>
      </c>
      <c r="C135" t="s">
        <v>36</v>
      </c>
      <c r="D135">
        <v>157</v>
      </c>
      <c r="E135" t="s">
        <v>45</v>
      </c>
      <c r="F135">
        <v>10</v>
      </c>
      <c r="G135">
        <v>3</v>
      </c>
      <c r="H135" t="s">
        <v>51</v>
      </c>
      <c r="I135">
        <v>1</v>
      </c>
      <c r="J135">
        <v>1980</v>
      </c>
      <c r="K135">
        <v>3</v>
      </c>
      <c r="L135" t="s">
        <v>39</v>
      </c>
      <c r="M135">
        <v>77</v>
      </c>
      <c r="N135">
        <v>3</v>
      </c>
      <c r="O135">
        <v>2</v>
      </c>
      <c r="P135" t="s">
        <v>53</v>
      </c>
      <c r="Q135">
        <v>1</v>
      </c>
      <c r="R135" t="s">
        <v>41</v>
      </c>
      <c r="S135">
        <v>4440</v>
      </c>
      <c r="T135">
        <v>25198</v>
      </c>
      <c r="U135">
        <v>6</v>
      </c>
      <c r="V135" t="s">
        <v>42</v>
      </c>
      <c r="W135" t="s">
        <v>35</v>
      </c>
      <c r="X135">
        <v>19</v>
      </c>
      <c r="Y135">
        <v>3</v>
      </c>
      <c r="Z135">
        <v>4</v>
      </c>
      <c r="AA135">
        <v>80</v>
      </c>
      <c r="AB135">
        <v>0</v>
      </c>
      <c r="AC135">
        <v>9</v>
      </c>
      <c r="AD135">
        <v>3</v>
      </c>
      <c r="AE135">
        <v>3</v>
      </c>
      <c r="AF135">
        <v>5</v>
      </c>
      <c r="AG135">
        <v>2</v>
      </c>
      <c r="AH135">
        <v>1</v>
      </c>
      <c r="AI135">
        <v>4</v>
      </c>
    </row>
    <row r="136" spans="1:35" x14ac:dyDescent="0.35">
      <c r="A136">
        <v>31</v>
      </c>
      <c r="B136" t="s">
        <v>43</v>
      </c>
      <c r="C136" t="s">
        <v>55</v>
      </c>
      <c r="D136">
        <v>697</v>
      </c>
      <c r="E136" t="s">
        <v>45</v>
      </c>
      <c r="F136">
        <v>10</v>
      </c>
      <c r="G136">
        <v>3</v>
      </c>
      <c r="H136" t="s">
        <v>51</v>
      </c>
      <c r="I136">
        <v>1</v>
      </c>
      <c r="J136">
        <v>1979</v>
      </c>
      <c r="K136">
        <v>3</v>
      </c>
      <c r="L136" t="s">
        <v>39</v>
      </c>
      <c r="M136">
        <v>40</v>
      </c>
      <c r="N136">
        <v>3</v>
      </c>
      <c r="O136">
        <v>3</v>
      </c>
      <c r="P136" t="s">
        <v>58</v>
      </c>
      <c r="Q136">
        <v>3</v>
      </c>
      <c r="R136" t="s">
        <v>48</v>
      </c>
      <c r="S136">
        <v>11031</v>
      </c>
      <c r="T136">
        <v>26862</v>
      </c>
      <c r="U136">
        <v>4</v>
      </c>
      <c r="V136" t="s">
        <v>42</v>
      </c>
      <c r="W136" t="s">
        <v>43</v>
      </c>
      <c r="X136">
        <v>20</v>
      </c>
      <c r="Y136">
        <v>4</v>
      </c>
      <c r="Z136">
        <v>3</v>
      </c>
      <c r="AA136">
        <v>80</v>
      </c>
      <c r="AB136">
        <v>1</v>
      </c>
      <c r="AC136">
        <v>13</v>
      </c>
      <c r="AD136">
        <v>2</v>
      </c>
      <c r="AE136">
        <v>4</v>
      </c>
      <c r="AF136">
        <v>11</v>
      </c>
      <c r="AG136">
        <v>7</v>
      </c>
      <c r="AH136">
        <v>4</v>
      </c>
      <c r="AI136">
        <v>8</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42</v>
      </c>
      <c r="B139" t="s">
        <v>43</v>
      </c>
      <c r="C139" t="s">
        <v>55</v>
      </c>
      <c r="D139">
        <v>335</v>
      </c>
      <c r="E139" t="s">
        <v>45</v>
      </c>
      <c r="F139">
        <v>23</v>
      </c>
      <c r="G139">
        <v>2</v>
      </c>
      <c r="H139" t="s">
        <v>38</v>
      </c>
      <c r="I139">
        <v>1</v>
      </c>
      <c r="J139">
        <v>1976</v>
      </c>
      <c r="K139">
        <v>4</v>
      </c>
      <c r="L139" t="s">
        <v>46</v>
      </c>
      <c r="M139">
        <v>37</v>
      </c>
      <c r="N139">
        <v>2</v>
      </c>
      <c r="O139">
        <v>2</v>
      </c>
      <c r="P139" t="s">
        <v>47</v>
      </c>
      <c r="Q139">
        <v>3</v>
      </c>
      <c r="R139" t="s">
        <v>41</v>
      </c>
      <c r="S139">
        <v>4332</v>
      </c>
      <c r="T139">
        <v>14811</v>
      </c>
      <c r="U139">
        <v>1</v>
      </c>
      <c r="V139" t="s">
        <v>42</v>
      </c>
      <c r="W139" t="s">
        <v>43</v>
      </c>
      <c r="X139">
        <v>12</v>
      </c>
      <c r="Y139">
        <v>3</v>
      </c>
      <c r="Z139">
        <v>4</v>
      </c>
      <c r="AA139">
        <v>80</v>
      </c>
      <c r="AB139">
        <v>0</v>
      </c>
      <c r="AC139">
        <v>20</v>
      </c>
      <c r="AD139">
        <v>2</v>
      </c>
      <c r="AE139">
        <v>3</v>
      </c>
      <c r="AF139">
        <v>20</v>
      </c>
      <c r="AG139">
        <v>9</v>
      </c>
      <c r="AH139">
        <v>3</v>
      </c>
      <c r="AI139">
        <v>7</v>
      </c>
    </row>
    <row r="140" spans="1:35" x14ac:dyDescent="0.35">
      <c r="A140">
        <v>31</v>
      </c>
      <c r="B140" t="s">
        <v>43</v>
      </c>
      <c r="C140" t="s">
        <v>36</v>
      </c>
      <c r="D140">
        <v>1276</v>
      </c>
      <c r="E140" t="s">
        <v>45</v>
      </c>
      <c r="F140">
        <v>2</v>
      </c>
      <c r="G140">
        <v>1</v>
      </c>
      <c r="H140" t="s">
        <v>51</v>
      </c>
      <c r="I140">
        <v>1</v>
      </c>
      <c r="J140">
        <v>1974</v>
      </c>
      <c r="K140">
        <v>4</v>
      </c>
      <c r="L140" t="s">
        <v>39</v>
      </c>
      <c r="M140">
        <v>59</v>
      </c>
      <c r="N140">
        <v>1</v>
      </c>
      <c r="O140">
        <v>1</v>
      </c>
      <c r="P140" t="s">
        <v>50</v>
      </c>
      <c r="Q140">
        <v>4</v>
      </c>
      <c r="R140" t="s">
        <v>52</v>
      </c>
      <c r="S140">
        <v>1129</v>
      </c>
      <c r="T140">
        <v>17536</v>
      </c>
      <c r="U140">
        <v>1</v>
      </c>
      <c r="V140" t="s">
        <v>42</v>
      </c>
      <c r="W140" t="s">
        <v>35</v>
      </c>
      <c r="X140">
        <v>11</v>
      </c>
      <c r="Y140">
        <v>3</v>
      </c>
      <c r="Z140">
        <v>3</v>
      </c>
      <c r="AA140">
        <v>80</v>
      </c>
      <c r="AB140">
        <v>3</v>
      </c>
      <c r="AC140">
        <v>1</v>
      </c>
      <c r="AD140">
        <v>4</v>
      </c>
      <c r="AE140">
        <v>3</v>
      </c>
      <c r="AF140">
        <v>1</v>
      </c>
      <c r="AG140">
        <v>0</v>
      </c>
      <c r="AH140">
        <v>0</v>
      </c>
      <c r="AI140">
        <v>0</v>
      </c>
    </row>
    <row r="141" spans="1:35" x14ac:dyDescent="0.35">
      <c r="A141">
        <v>43</v>
      </c>
      <c r="B141" t="s">
        <v>43</v>
      </c>
      <c r="C141" t="s">
        <v>36</v>
      </c>
      <c r="D141">
        <v>574</v>
      </c>
      <c r="E141" t="s">
        <v>45</v>
      </c>
      <c r="F141">
        <v>11</v>
      </c>
      <c r="G141">
        <v>3</v>
      </c>
      <c r="H141" t="s">
        <v>38</v>
      </c>
      <c r="I141">
        <v>1</v>
      </c>
      <c r="J141">
        <v>1971</v>
      </c>
      <c r="K141">
        <v>1</v>
      </c>
      <c r="L141" t="s">
        <v>46</v>
      </c>
      <c r="M141">
        <v>30</v>
      </c>
      <c r="N141">
        <v>3</v>
      </c>
      <c r="O141">
        <v>3</v>
      </c>
      <c r="P141" t="s">
        <v>54</v>
      </c>
      <c r="Q141">
        <v>3</v>
      </c>
      <c r="R141" t="s">
        <v>48</v>
      </c>
      <c r="S141">
        <v>7510</v>
      </c>
      <c r="T141">
        <v>16873</v>
      </c>
      <c r="U141">
        <v>1</v>
      </c>
      <c r="V141" t="s">
        <v>42</v>
      </c>
      <c r="W141" t="s">
        <v>43</v>
      </c>
      <c r="X141">
        <v>17</v>
      </c>
      <c r="Y141">
        <v>3</v>
      </c>
      <c r="Z141">
        <v>2</v>
      </c>
      <c r="AA141">
        <v>80</v>
      </c>
      <c r="AB141">
        <v>1</v>
      </c>
      <c r="AC141">
        <v>10</v>
      </c>
      <c r="AD141">
        <v>1</v>
      </c>
      <c r="AE141">
        <v>3</v>
      </c>
      <c r="AF141">
        <v>10</v>
      </c>
      <c r="AG141">
        <v>9</v>
      </c>
      <c r="AH141">
        <v>0</v>
      </c>
      <c r="AI141">
        <v>9</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33</v>
      </c>
      <c r="B146" t="s">
        <v>43</v>
      </c>
      <c r="C146" t="s">
        <v>44</v>
      </c>
      <c r="D146">
        <v>1303</v>
      </c>
      <c r="E146" t="s">
        <v>45</v>
      </c>
      <c r="F146">
        <v>7</v>
      </c>
      <c r="G146">
        <v>2</v>
      </c>
      <c r="H146" t="s">
        <v>38</v>
      </c>
      <c r="I146">
        <v>1</v>
      </c>
      <c r="J146">
        <v>1970</v>
      </c>
      <c r="K146">
        <v>4</v>
      </c>
      <c r="L146" t="s">
        <v>46</v>
      </c>
      <c r="M146">
        <v>36</v>
      </c>
      <c r="N146">
        <v>3</v>
      </c>
      <c r="O146">
        <v>2</v>
      </c>
      <c r="P146" t="s">
        <v>54</v>
      </c>
      <c r="Q146">
        <v>3</v>
      </c>
      <c r="R146" t="s">
        <v>52</v>
      </c>
      <c r="S146">
        <v>5968</v>
      </c>
      <c r="T146">
        <v>18079</v>
      </c>
      <c r="U146">
        <v>1</v>
      </c>
      <c r="V146" t="s">
        <v>42</v>
      </c>
      <c r="W146" t="s">
        <v>43</v>
      </c>
      <c r="X146">
        <v>20</v>
      </c>
      <c r="Y146">
        <v>4</v>
      </c>
      <c r="Z146">
        <v>3</v>
      </c>
      <c r="AA146">
        <v>80</v>
      </c>
      <c r="AB146">
        <v>3</v>
      </c>
      <c r="AC146">
        <v>9</v>
      </c>
      <c r="AD146">
        <v>2</v>
      </c>
      <c r="AE146">
        <v>3</v>
      </c>
      <c r="AF146">
        <v>9</v>
      </c>
      <c r="AG146">
        <v>7</v>
      </c>
      <c r="AH146">
        <v>2</v>
      </c>
      <c r="AI146">
        <v>8</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54</v>
      </c>
      <c r="B153" t="s">
        <v>43</v>
      </c>
      <c r="C153" t="s">
        <v>36</v>
      </c>
      <c r="D153">
        <v>155</v>
      </c>
      <c r="E153" t="s">
        <v>45</v>
      </c>
      <c r="F153">
        <v>9</v>
      </c>
      <c r="G153">
        <v>2</v>
      </c>
      <c r="H153" t="s">
        <v>38</v>
      </c>
      <c r="I153">
        <v>1</v>
      </c>
      <c r="J153">
        <v>1969</v>
      </c>
      <c r="K153">
        <v>1</v>
      </c>
      <c r="L153" t="s">
        <v>39</v>
      </c>
      <c r="M153">
        <v>67</v>
      </c>
      <c r="N153">
        <v>3</v>
      </c>
      <c r="O153">
        <v>2</v>
      </c>
      <c r="P153" t="s">
        <v>47</v>
      </c>
      <c r="Q153">
        <v>3</v>
      </c>
      <c r="R153" t="s">
        <v>48</v>
      </c>
      <c r="S153">
        <v>2897</v>
      </c>
      <c r="T153">
        <v>22474</v>
      </c>
      <c r="U153">
        <v>3</v>
      </c>
      <c r="V153" t="s">
        <v>42</v>
      </c>
      <c r="W153" t="s">
        <v>43</v>
      </c>
      <c r="X153">
        <v>11</v>
      </c>
      <c r="Y153">
        <v>3</v>
      </c>
      <c r="Z153">
        <v>3</v>
      </c>
      <c r="AA153">
        <v>80</v>
      </c>
      <c r="AB153">
        <v>2</v>
      </c>
      <c r="AC153">
        <v>9</v>
      </c>
      <c r="AD153">
        <v>6</v>
      </c>
      <c r="AE153">
        <v>2</v>
      </c>
      <c r="AF153">
        <v>4</v>
      </c>
      <c r="AG153">
        <v>3</v>
      </c>
      <c r="AH153">
        <v>2</v>
      </c>
      <c r="AI153">
        <v>3</v>
      </c>
    </row>
    <row r="154" spans="1:35" x14ac:dyDescent="0.35">
      <c r="A154">
        <v>32</v>
      </c>
      <c r="B154" t="s">
        <v>43</v>
      </c>
      <c r="C154" t="s">
        <v>36</v>
      </c>
      <c r="D154">
        <v>1373</v>
      </c>
      <c r="E154" t="s">
        <v>45</v>
      </c>
      <c r="F154">
        <v>5</v>
      </c>
      <c r="G154">
        <v>4</v>
      </c>
      <c r="H154" t="s">
        <v>38</v>
      </c>
      <c r="I154">
        <v>1</v>
      </c>
      <c r="J154">
        <v>1966</v>
      </c>
      <c r="K154">
        <v>4</v>
      </c>
      <c r="L154" t="s">
        <v>46</v>
      </c>
      <c r="M154">
        <v>56</v>
      </c>
      <c r="N154">
        <v>2</v>
      </c>
      <c r="O154">
        <v>2</v>
      </c>
      <c r="P154" t="s">
        <v>53</v>
      </c>
      <c r="Q154">
        <v>4</v>
      </c>
      <c r="R154" t="s">
        <v>41</v>
      </c>
      <c r="S154">
        <v>9679</v>
      </c>
      <c r="T154">
        <v>10138</v>
      </c>
      <c r="U154">
        <v>8</v>
      </c>
      <c r="V154" t="s">
        <v>42</v>
      </c>
      <c r="W154" t="s">
        <v>43</v>
      </c>
      <c r="X154">
        <v>24</v>
      </c>
      <c r="Y154">
        <v>4</v>
      </c>
      <c r="Z154">
        <v>2</v>
      </c>
      <c r="AA154">
        <v>80</v>
      </c>
      <c r="AB154">
        <v>0</v>
      </c>
      <c r="AC154">
        <v>8</v>
      </c>
      <c r="AD154">
        <v>1</v>
      </c>
      <c r="AE154">
        <v>3</v>
      </c>
      <c r="AF154">
        <v>1</v>
      </c>
      <c r="AG154">
        <v>0</v>
      </c>
      <c r="AH154">
        <v>0</v>
      </c>
      <c r="AI154">
        <v>0</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28</v>
      </c>
      <c r="B156" t="s">
        <v>35</v>
      </c>
      <c r="C156" t="s">
        <v>36</v>
      </c>
      <c r="D156">
        <v>1404</v>
      </c>
      <c r="E156" t="s">
        <v>45</v>
      </c>
      <c r="F156">
        <v>17</v>
      </c>
      <c r="G156">
        <v>3</v>
      </c>
      <c r="H156" t="s">
        <v>60</v>
      </c>
      <c r="I156">
        <v>1</v>
      </c>
      <c r="J156">
        <v>1960</v>
      </c>
      <c r="K156">
        <v>3</v>
      </c>
      <c r="L156" t="s">
        <v>46</v>
      </c>
      <c r="M156">
        <v>32</v>
      </c>
      <c r="N156">
        <v>2</v>
      </c>
      <c r="O156">
        <v>1</v>
      </c>
      <c r="P156" t="s">
        <v>50</v>
      </c>
      <c r="Q156">
        <v>4</v>
      </c>
      <c r="R156" t="s">
        <v>52</v>
      </c>
      <c r="S156">
        <v>2367</v>
      </c>
      <c r="T156">
        <v>18779</v>
      </c>
      <c r="U156">
        <v>5</v>
      </c>
      <c r="V156" t="s">
        <v>42</v>
      </c>
      <c r="W156" t="s">
        <v>43</v>
      </c>
      <c r="X156">
        <v>12</v>
      </c>
      <c r="Y156">
        <v>3</v>
      </c>
      <c r="Z156">
        <v>1</v>
      </c>
      <c r="AA156">
        <v>80</v>
      </c>
      <c r="AB156">
        <v>1</v>
      </c>
      <c r="AC156">
        <v>6</v>
      </c>
      <c r="AD156">
        <v>2</v>
      </c>
      <c r="AE156">
        <v>2</v>
      </c>
      <c r="AF156">
        <v>4</v>
      </c>
      <c r="AG156">
        <v>1</v>
      </c>
      <c r="AH156">
        <v>0</v>
      </c>
      <c r="AI156">
        <v>3</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31</v>
      </c>
      <c r="B160" t="s">
        <v>43</v>
      </c>
      <c r="C160" t="s">
        <v>44</v>
      </c>
      <c r="D160">
        <v>1125</v>
      </c>
      <c r="E160" t="s">
        <v>45</v>
      </c>
      <c r="F160">
        <v>1</v>
      </c>
      <c r="G160">
        <v>3</v>
      </c>
      <c r="H160" t="s">
        <v>38</v>
      </c>
      <c r="I160">
        <v>1</v>
      </c>
      <c r="J160">
        <v>1956</v>
      </c>
      <c r="K160">
        <v>4</v>
      </c>
      <c r="L160" t="s">
        <v>46</v>
      </c>
      <c r="M160">
        <v>48</v>
      </c>
      <c r="N160">
        <v>1</v>
      </c>
      <c r="O160">
        <v>2</v>
      </c>
      <c r="P160" t="s">
        <v>47</v>
      </c>
      <c r="Q160">
        <v>1</v>
      </c>
      <c r="R160" t="s">
        <v>48</v>
      </c>
      <c r="S160">
        <v>5003</v>
      </c>
      <c r="T160">
        <v>5771</v>
      </c>
      <c r="U160">
        <v>1</v>
      </c>
      <c r="V160" t="s">
        <v>42</v>
      </c>
      <c r="W160" t="s">
        <v>43</v>
      </c>
      <c r="X160">
        <v>21</v>
      </c>
      <c r="Y160">
        <v>4</v>
      </c>
      <c r="Z160">
        <v>2</v>
      </c>
      <c r="AA160">
        <v>80</v>
      </c>
      <c r="AB160">
        <v>0</v>
      </c>
      <c r="AC160">
        <v>10</v>
      </c>
      <c r="AD160">
        <v>6</v>
      </c>
      <c r="AE160">
        <v>3</v>
      </c>
      <c r="AF160">
        <v>10</v>
      </c>
      <c r="AG160">
        <v>8</v>
      </c>
      <c r="AH160">
        <v>8</v>
      </c>
      <c r="AI160">
        <v>7</v>
      </c>
    </row>
    <row r="161" spans="1:35" x14ac:dyDescent="0.35">
      <c r="A161">
        <v>32</v>
      </c>
      <c r="B161" t="s">
        <v>43</v>
      </c>
      <c r="C161" t="s">
        <v>55</v>
      </c>
      <c r="D161">
        <v>1146</v>
      </c>
      <c r="E161" t="s">
        <v>45</v>
      </c>
      <c r="F161">
        <v>15</v>
      </c>
      <c r="G161">
        <v>4</v>
      </c>
      <c r="H161" t="s">
        <v>51</v>
      </c>
      <c r="I161">
        <v>1</v>
      </c>
      <c r="J161">
        <v>1955</v>
      </c>
      <c r="K161">
        <v>3</v>
      </c>
      <c r="L161" t="s">
        <v>39</v>
      </c>
      <c r="M161">
        <v>34</v>
      </c>
      <c r="N161">
        <v>3</v>
      </c>
      <c r="O161">
        <v>2</v>
      </c>
      <c r="P161" t="s">
        <v>54</v>
      </c>
      <c r="Q161">
        <v>4</v>
      </c>
      <c r="R161" t="s">
        <v>52</v>
      </c>
      <c r="S161">
        <v>6667</v>
      </c>
      <c r="T161">
        <v>16542</v>
      </c>
      <c r="U161">
        <v>5</v>
      </c>
      <c r="V161" t="s">
        <v>42</v>
      </c>
      <c r="W161" t="s">
        <v>43</v>
      </c>
      <c r="X161">
        <v>18</v>
      </c>
      <c r="Y161">
        <v>3</v>
      </c>
      <c r="Z161">
        <v>2</v>
      </c>
      <c r="AA161">
        <v>80</v>
      </c>
      <c r="AB161">
        <v>1</v>
      </c>
      <c r="AC161">
        <v>9</v>
      </c>
      <c r="AD161">
        <v>6</v>
      </c>
      <c r="AE161">
        <v>3</v>
      </c>
      <c r="AF161">
        <v>5</v>
      </c>
      <c r="AG161">
        <v>1</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29</v>
      </c>
      <c r="B169" t="s">
        <v>43</v>
      </c>
      <c r="C169" t="s">
        <v>36</v>
      </c>
      <c r="D169">
        <v>136</v>
      </c>
      <c r="E169" t="s">
        <v>45</v>
      </c>
      <c r="F169">
        <v>1</v>
      </c>
      <c r="G169">
        <v>3</v>
      </c>
      <c r="H169" t="s">
        <v>38</v>
      </c>
      <c r="I169">
        <v>1</v>
      </c>
      <c r="J169">
        <v>1954</v>
      </c>
      <c r="K169">
        <v>1</v>
      </c>
      <c r="L169" t="s">
        <v>46</v>
      </c>
      <c r="M169">
        <v>89</v>
      </c>
      <c r="N169">
        <v>3</v>
      </c>
      <c r="O169">
        <v>2</v>
      </c>
      <c r="P169" t="s">
        <v>54</v>
      </c>
      <c r="Q169">
        <v>1</v>
      </c>
      <c r="R169" t="s">
        <v>48</v>
      </c>
      <c r="S169">
        <v>5373</v>
      </c>
      <c r="T169">
        <v>6225</v>
      </c>
      <c r="U169">
        <v>0</v>
      </c>
      <c r="V169" t="s">
        <v>42</v>
      </c>
      <c r="W169" t="s">
        <v>43</v>
      </c>
      <c r="X169">
        <v>12</v>
      </c>
      <c r="Y169">
        <v>3</v>
      </c>
      <c r="Z169">
        <v>1</v>
      </c>
      <c r="AA169">
        <v>80</v>
      </c>
      <c r="AB169">
        <v>1</v>
      </c>
      <c r="AC169">
        <v>6</v>
      </c>
      <c r="AD169">
        <v>5</v>
      </c>
      <c r="AE169">
        <v>2</v>
      </c>
      <c r="AF169">
        <v>5</v>
      </c>
      <c r="AG169">
        <v>3</v>
      </c>
      <c r="AH169">
        <v>0</v>
      </c>
      <c r="AI169">
        <v>2</v>
      </c>
    </row>
    <row r="170" spans="1:35" x14ac:dyDescent="0.35">
      <c r="A170">
        <v>26</v>
      </c>
      <c r="B170" t="s">
        <v>43</v>
      </c>
      <c r="C170" t="s">
        <v>36</v>
      </c>
      <c r="D170">
        <v>157</v>
      </c>
      <c r="E170" t="s">
        <v>45</v>
      </c>
      <c r="F170">
        <v>1</v>
      </c>
      <c r="G170">
        <v>3</v>
      </c>
      <c r="H170" t="s">
        <v>51</v>
      </c>
      <c r="I170">
        <v>1</v>
      </c>
      <c r="J170">
        <v>1952</v>
      </c>
      <c r="K170">
        <v>3</v>
      </c>
      <c r="L170" t="s">
        <v>46</v>
      </c>
      <c r="M170">
        <v>95</v>
      </c>
      <c r="N170">
        <v>3</v>
      </c>
      <c r="O170">
        <v>1</v>
      </c>
      <c r="P170" t="s">
        <v>50</v>
      </c>
      <c r="Q170">
        <v>1</v>
      </c>
      <c r="R170" t="s">
        <v>41</v>
      </c>
      <c r="S170">
        <v>2867</v>
      </c>
      <c r="T170">
        <v>20006</v>
      </c>
      <c r="U170">
        <v>0</v>
      </c>
      <c r="V170" t="s">
        <v>42</v>
      </c>
      <c r="W170" t="s">
        <v>43</v>
      </c>
      <c r="X170">
        <v>13</v>
      </c>
      <c r="Y170">
        <v>3</v>
      </c>
      <c r="Z170">
        <v>4</v>
      </c>
      <c r="AA170">
        <v>80</v>
      </c>
      <c r="AB170">
        <v>0</v>
      </c>
      <c r="AC170">
        <v>8</v>
      </c>
      <c r="AD170">
        <v>6</v>
      </c>
      <c r="AE170">
        <v>2</v>
      </c>
      <c r="AF170">
        <v>7</v>
      </c>
      <c r="AG170">
        <v>7</v>
      </c>
      <c r="AH170">
        <v>7</v>
      </c>
      <c r="AI170">
        <v>6</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36</v>
      </c>
      <c r="B173" t="s">
        <v>43</v>
      </c>
      <c r="C173" t="s">
        <v>55</v>
      </c>
      <c r="D173">
        <v>1351</v>
      </c>
      <c r="E173" t="s">
        <v>45</v>
      </c>
      <c r="F173">
        <v>9</v>
      </c>
      <c r="G173">
        <v>4</v>
      </c>
      <c r="H173" t="s">
        <v>38</v>
      </c>
      <c r="I173">
        <v>1</v>
      </c>
      <c r="J173">
        <v>1949</v>
      </c>
      <c r="K173">
        <v>1</v>
      </c>
      <c r="L173" t="s">
        <v>46</v>
      </c>
      <c r="M173">
        <v>66</v>
      </c>
      <c r="N173">
        <v>4</v>
      </c>
      <c r="O173">
        <v>1</v>
      </c>
      <c r="P173" t="s">
        <v>50</v>
      </c>
      <c r="Q173">
        <v>2</v>
      </c>
      <c r="R173" t="s">
        <v>48</v>
      </c>
      <c r="S173">
        <v>2810</v>
      </c>
      <c r="T173">
        <v>9238</v>
      </c>
      <c r="U173">
        <v>1</v>
      </c>
      <c r="V173" t="s">
        <v>42</v>
      </c>
      <c r="W173" t="s">
        <v>43</v>
      </c>
      <c r="X173">
        <v>22</v>
      </c>
      <c r="Y173">
        <v>4</v>
      </c>
      <c r="Z173">
        <v>2</v>
      </c>
      <c r="AA173">
        <v>80</v>
      </c>
      <c r="AB173">
        <v>0</v>
      </c>
      <c r="AC173">
        <v>5</v>
      </c>
      <c r="AD173">
        <v>3</v>
      </c>
      <c r="AE173">
        <v>3</v>
      </c>
      <c r="AF173">
        <v>5</v>
      </c>
      <c r="AG173">
        <v>4</v>
      </c>
      <c r="AH173">
        <v>0</v>
      </c>
      <c r="AI173">
        <v>2</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31</v>
      </c>
      <c r="B176" t="s">
        <v>43</v>
      </c>
      <c r="C176" t="s">
        <v>55</v>
      </c>
      <c r="D176">
        <v>976</v>
      </c>
      <c r="E176" t="s">
        <v>45</v>
      </c>
      <c r="F176">
        <v>3</v>
      </c>
      <c r="G176">
        <v>2</v>
      </c>
      <c r="H176" t="s">
        <v>51</v>
      </c>
      <c r="I176">
        <v>1</v>
      </c>
      <c r="J176">
        <v>1948</v>
      </c>
      <c r="K176">
        <v>3</v>
      </c>
      <c r="L176" t="s">
        <v>46</v>
      </c>
      <c r="M176">
        <v>48</v>
      </c>
      <c r="N176">
        <v>3</v>
      </c>
      <c r="O176">
        <v>1</v>
      </c>
      <c r="P176" t="s">
        <v>47</v>
      </c>
      <c r="Q176">
        <v>1</v>
      </c>
      <c r="R176" t="s">
        <v>52</v>
      </c>
      <c r="S176">
        <v>3065</v>
      </c>
      <c r="T176">
        <v>3995</v>
      </c>
      <c r="U176">
        <v>1</v>
      </c>
      <c r="V176" t="s">
        <v>42</v>
      </c>
      <c r="W176" t="s">
        <v>35</v>
      </c>
      <c r="X176">
        <v>13</v>
      </c>
      <c r="Y176">
        <v>3</v>
      </c>
      <c r="Z176">
        <v>4</v>
      </c>
      <c r="AA176">
        <v>80</v>
      </c>
      <c r="AB176">
        <v>1</v>
      </c>
      <c r="AC176">
        <v>4</v>
      </c>
      <c r="AD176">
        <v>3</v>
      </c>
      <c r="AE176">
        <v>4</v>
      </c>
      <c r="AF176">
        <v>4</v>
      </c>
      <c r="AG176">
        <v>2</v>
      </c>
      <c r="AH176">
        <v>2</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28</v>
      </c>
      <c r="B180" t="s">
        <v>43</v>
      </c>
      <c r="C180" t="s">
        <v>55</v>
      </c>
      <c r="D180">
        <v>1103</v>
      </c>
      <c r="E180" t="s">
        <v>45</v>
      </c>
      <c r="F180">
        <v>16</v>
      </c>
      <c r="G180">
        <v>3</v>
      </c>
      <c r="H180" t="s">
        <v>51</v>
      </c>
      <c r="I180">
        <v>1</v>
      </c>
      <c r="J180">
        <v>1947</v>
      </c>
      <c r="K180">
        <v>3</v>
      </c>
      <c r="L180" t="s">
        <v>46</v>
      </c>
      <c r="M180">
        <v>49</v>
      </c>
      <c r="N180">
        <v>3</v>
      </c>
      <c r="O180">
        <v>1</v>
      </c>
      <c r="P180" t="s">
        <v>47</v>
      </c>
      <c r="Q180">
        <v>3</v>
      </c>
      <c r="R180" t="s">
        <v>41</v>
      </c>
      <c r="S180">
        <v>2144</v>
      </c>
      <c r="T180">
        <v>2122</v>
      </c>
      <c r="U180">
        <v>1</v>
      </c>
      <c r="V180" t="s">
        <v>42</v>
      </c>
      <c r="W180" t="s">
        <v>43</v>
      </c>
      <c r="X180">
        <v>14</v>
      </c>
      <c r="Y180">
        <v>3</v>
      </c>
      <c r="Z180">
        <v>3</v>
      </c>
      <c r="AA180">
        <v>80</v>
      </c>
      <c r="AB180">
        <v>0</v>
      </c>
      <c r="AC180">
        <v>5</v>
      </c>
      <c r="AD180">
        <v>3</v>
      </c>
      <c r="AE180">
        <v>2</v>
      </c>
      <c r="AF180">
        <v>5</v>
      </c>
      <c r="AG180">
        <v>3</v>
      </c>
      <c r="AH180">
        <v>1</v>
      </c>
      <c r="AI180">
        <v>4</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49</v>
      </c>
      <c r="B184" t="s">
        <v>43</v>
      </c>
      <c r="C184" t="s">
        <v>44</v>
      </c>
      <c r="D184">
        <v>1064</v>
      </c>
      <c r="E184" t="s">
        <v>45</v>
      </c>
      <c r="F184">
        <v>2</v>
      </c>
      <c r="G184">
        <v>1</v>
      </c>
      <c r="H184" t="s">
        <v>38</v>
      </c>
      <c r="I184">
        <v>1</v>
      </c>
      <c r="J184">
        <v>1941</v>
      </c>
      <c r="K184">
        <v>2</v>
      </c>
      <c r="L184" t="s">
        <v>46</v>
      </c>
      <c r="M184">
        <v>42</v>
      </c>
      <c r="N184">
        <v>3</v>
      </c>
      <c r="O184">
        <v>5</v>
      </c>
      <c r="P184" t="s">
        <v>58</v>
      </c>
      <c r="Q184">
        <v>4</v>
      </c>
      <c r="R184" t="s">
        <v>48</v>
      </c>
      <c r="S184">
        <v>19161</v>
      </c>
      <c r="T184">
        <v>13738</v>
      </c>
      <c r="U184">
        <v>3</v>
      </c>
      <c r="V184" t="s">
        <v>42</v>
      </c>
      <c r="W184" t="s">
        <v>43</v>
      </c>
      <c r="X184">
        <v>15</v>
      </c>
      <c r="Y184">
        <v>3</v>
      </c>
      <c r="Z184">
        <v>4</v>
      </c>
      <c r="AA184">
        <v>80</v>
      </c>
      <c r="AB184">
        <v>0</v>
      </c>
      <c r="AC184">
        <v>28</v>
      </c>
      <c r="AD184">
        <v>3</v>
      </c>
      <c r="AE184">
        <v>3</v>
      </c>
      <c r="AF184">
        <v>5</v>
      </c>
      <c r="AG184">
        <v>4</v>
      </c>
      <c r="AH184">
        <v>4</v>
      </c>
      <c r="AI184">
        <v>3</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38</v>
      </c>
      <c r="B207" t="s">
        <v>43</v>
      </c>
      <c r="C207" t="s">
        <v>36</v>
      </c>
      <c r="D207">
        <v>1206</v>
      </c>
      <c r="E207" t="s">
        <v>45</v>
      </c>
      <c r="F207">
        <v>9</v>
      </c>
      <c r="G207">
        <v>2</v>
      </c>
      <c r="H207" t="s">
        <v>38</v>
      </c>
      <c r="I207">
        <v>1</v>
      </c>
      <c r="J207">
        <v>1940</v>
      </c>
      <c r="K207">
        <v>2</v>
      </c>
      <c r="L207" t="s">
        <v>46</v>
      </c>
      <c r="M207">
        <v>71</v>
      </c>
      <c r="N207">
        <v>3</v>
      </c>
      <c r="O207">
        <v>1</v>
      </c>
      <c r="P207" t="s">
        <v>47</v>
      </c>
      <c r="Q207">
        <v>4</v>
      </c>
      <c r="R207" t="s">
        <v>52</v>
      </c>
      <c r="S207">
        <v>4771</v>
      </c>
      <c r="T207">
        <v>14293</v>
      </c>
      <c r="U207">
        <v>2</v>
      </c>
      <c r="V207" t="s">
        <v>42</v>
      </c>
      <c r="W207" t="s">
        <v>43</v>
      </c>
      <c r="X207">
        <v>19</v>
      </c>
      <c r="Y207">
        <v>3</v>
      </c>
      <c r="Z207">
        <v>4</v>
      </c>
      <c r="AA207">
        <v>80</v>
      </c>
      <c r="AB207">
        <v>2</v>
      </c>
      <c r="AC207">
        <v>10</v>
      </c>
      <c r="AD207">
        <v>0</v>
      </c>
      <c r="AE207">
        <v>4</v>
      </c>
      <c r="AF207">
        <v>5</v>
      </c>
      <c r="AG207">
        <v>2</v>
      </c>
      <c r="AH207">
        <v>0</v>
      </c>
      <c r="AI207">
        <v>3</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44</v>
      </c>
      <c r="D212">
        <v>238</v>
      </c>
      <c r="E212" t="s">
        <v>45</v>
      </c>
      <c r="F212">
        <v>5</v>
      </c>
      <c r="G212">
        <v>2</v>
      </c>
      <c r="H212" t="s">
        <v>38</v>
      </c>
      <c r="I212">
        <v>1</v>
      </c>
      <c r="J212">
        <v>1939</v>
      </c>
      <c r="K212">
        <v>1</v>
      </c>
      <c r="L212" t="s">
        <v>39</v>
      </c>
      <c r="M212">
        <v>47</v>
      </c>
      <c r="N212">
        <v>4</v>
      </c>
      <c r="O212">
        <v>1</v>
      </c>
      <c r="P212" t="s">
        <v>47</v>
      </c>
      <c r="Q212">
        <v>3</v>
      </c>
      <c r="R212" t="s">
        <v>41</v>
      </c>
      <c r="S212">
        <v>2432</v>
      </c>
      <c r="T212">
        <v>15318</v>
      </c>
      <c r="U212">
        <v>3</v>
      </c>
      <c r="V212" t="s">
        <v>42</v>
      </c>
      <c r="W212" t="s">
        <v>35</v>
      </c>
      <c r="X212">
        <v>14</v>
      </c>
      <c r="Y212">
        <v>3</v>
      </c>
      <c r="Z212">
        <v>1</v>
      </c>
      <c r="AA212">
        <v>80</v>
      </c>
      <c r="AB212">
        <v>0</v>
      </c>
      <c r="AC212">
        <v>8</v>
      </c>
      <c r="AD212">
        <v>2</v>
      </c>
      <c r="AE212">
        <v>3</v>
      </c>
      <c r="AF212">
        <v>4</v>
      </c>
      <c r="AG212">
        <v>1</v>
      </c>
      <c r="AH212">
        <v>0</v>
      </c>
      <c r="AI212">
        <v>3</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38</v>
      </c>
      <c r="B214" t="s">
        <v>43</v>
      </c>
      <c r="C214" t="s">
        <v>44</v>
      </c>
      <c r="D214">
        <v>1394</v>
      </c>
      <c r="E214" t="s">
        <v>45</v>
      </c>
      <c r="F214">
        <v>8</v>
      </c>
      <c r="G214">
        <v>3</v>
      </c>
      <c r="H214" t="s">
        <v>51</v>
      </c>
      <c r="I214">
        <v>1</v>
      </c>
      <c r="J214">
        <v>1937</v>
      </c>
      <c r="K214">
        <v>4</v>
      </c>
      <c r="L214" t="s">
        <v>39</v>
      </c>
      <c r="M214">
        <v>58</v>
      </c>
      <c r="N214">
        <v>2</v>
      </c>
      <c r="O214">
        <v>2</v>
      </c>
      <c r="P214" t="s">
        <v>47</v>
      </c>
      <c r="Q214">
        <v>2</v>
      </c>
      <c r="R214" t="s">
        <v>52</v>
      </c>
      <c r="S214">
        <v>2133</v>
      </c>
      <c r="T214">
        <v>18115</v>
      </c>
      <c r="U214">
        <v>1</v>
      </c>
      <c r="V214" t="s">
        <v>42</v>
      </c>
      <c r="W214" t="s">
        <v>35</v>
      </c>
      <c r="X214">
        <v>16</v>
      </c>
      <c r="Y214">
        <v>3</v>
      </c>
      <c r="Z214">
        <v>3</v>
      </c>
      <c r="AA214">
        <v>80</v>
      </c>
      <c r="AB214">
        <v>1</v>
      </c>
      <c r="AC214">
        <v>20</v>
      </c>
      <c r="AD214">
        <v>3</v>
      </c>
      <c r="AE214">
        <v>3</v>
      </c>
      <c r="AF214">
        <v>20</v>
      </c>
      <c r="AG214">
        <v>11</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39</v>
      </c>
      <c r="B217" t="s">
        <v>43</v>
      </c>
      <c r="C217" t="s">
        <v>36</v>
      </c>
      <c r="D217">
        <v>867</v>
      </c>
      <c r="E217" t="s">
        <v>45</v>
      </c>
      <c r="F217">
        <v>9</v>
      </c>
      <c r="G217">
        <v>2</v>
      </c>
      <c r="H217" t="s">
        <v>51</v>
      </c>
      <c r="I217">
        <v>1</v>
      </c>
      <c r="J217">
        <v>1936</v>
      </c>
      <c r="K217">
        <v>1</v>
      </c>
      <c r="L217" t="s">
        <v>46</v>
      </c>
      <c r="M217">
        <v>87</v>
      </c>
      <c r="N217">
        <v>3</v>
      </c>
      <c r="O217">
        <v>2</v>
      </c>
      <c r="P217" t="s">
        <v>53</v>
      </c>
      <c r="Q217">
        <v>1</v>
      </c>
      <c r="R217" t="s">
        <v>48</v>
      </c>
      <c r="S217">
        <v>5151</v>
      </c>
      <c r="T217">
        <v>12315</v>
      </c>
      <c r="U217">
        <v>1</v>
      </c>
      <c r="V217" t="s">
        <v>42</v>
      </c>
      <c r="W217" t="s">
        <v>43</v>
      </c>
      <c r="X217">
        <v>25</v>
      </c>
      <c r="Y217">
        <v>4</v>
      </c>
      <c r="Z217">
        <v>4</v>
      </c>
      <c r="AA217">
        <v>80</v>
      </c>
      <c r="AB217">
        <v>1</v>
      </c>
      <c r="AC217">
        <v>10</v>
      </c>
      <c r="AD217">
        <v>3</v>
      </c>
      <c r="AE217">
        <v>3</v>
      </c>
      <c r="AF217">
        <v>10</v>
      </c>
      <c r="AG217">
        <v>0</v>
      </c>
      <c r="AH217">
        <v>7</v>
      </c>
      <c r="AI217">
        <v>9</v>
      </c>
    </row>
    <row r="218" spans="1:35" x14ac:dyDescent="0.35">
      <c r="A218">
        <v>47</v>
      </c>
      <c r="B218" t="s">
        <v>43</v>
      </c>
      <c r="C218" t="s">
        <v>55</v>
      </c>
      <c r="D218">
        <v>1169</v>
      </c>
      <c r="E218" t="s">
        <v>45</v>
      </c>
      <c r="F218">
        <v>14</v>
      </c>
      <c r="G218">
        <v>4</v>
      </c>
      <c r="H218" t="s">
        <v>60</v>
      </c>
      <c r="I218">
        <v>1</v>
      </c>
      <c r="J218">
        <v>1934</v>
      </c>
      <c r="K218">
        <v>3</v>
      </c>
      <c r="L218" t="s">
        <v>46</v>
      </c>
      <c r="M218">
        <v>64</v>
      </c>
      <c r="N218">
        <v>3</v>
      </c>
      <c r="O218">
        <v>2</v>
      </c>
      <c r="P218" t="s">
        <v>47</v>
      </c>
      <c r="Q218">
        <v>2</v>
      </c>
      <c r="R218" t="s">
        <v>48</v>
      </c>
      <c r="S218">
        <v>5467</v>
      </c>
      <c r="T218">
        <v>2125</v>
      </c>
      <c r="U218">
        <v>8</v>
      </c>
      <c r="V218" t="s">
        <v>42</v>
      </c>
      <c r="W218" t="s">
        <v>43</v>
      </c>
      <c r="X218">
        <v>18</v>
      </c>
      <c r="Y218">
        <v>3</v>
      </c>
      <c r="Z218">
        <v>3</v>
      </c>
      <c r="AA218">
        <v>80</v>
      </c>
      <c r="AB218">
        <v>1</v>
      </c>
      <c r="AC218">
        <v>16</v>
      </c>
      <c r="AD218">
        <v>4</v>
      </c>
      <c r="AE218">
        <v>4</v>
      </c>
      <c r="AF218">
        <v>8</v>
      </c>
      <c r="AG218">
        <v>7</v>
      </c>
      <c r="AH218">
        <v>1</v>
      </c>
      <c r="AI218">
        <v>7</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34</v>
      </c>
      <c r="B220" t="s">
        <v>43</v>
      </c>
      <c r="C220" t="s">
        <v>44</v>
      </c>
      <c r="D220">
        <v>735</v>
      </c>
      <c r="E220" t="s">
        <v>45</v>
      </c>
      <c r="F220">
        <v>22</v>
      </c>
      <c r="G220">
        <v>4</v>
      </c>
      <c r="H220" t="s">
        <v>49</v>
      </c>
      <c r="I220">
        <v>1</v>
      </c>
      <c r="J220">
        <v>1932</v>
      </c>
      <c r="K220">
        <v>3</v>
      </c>
      <c r="L220" t="s">
        <v>46</v>
      </c>
      <c r="M220">
        <v>86</v>
      </c>
      <c r="N220">
        <v>2</v>
      </c>
      <c r="O220">
        <v>2</v>
      </c>
      <c r="P220" t="s">
        <v>47</v>
      </c>
      <c r="Q220">
        <v>4</v>
      </c>
      <c r="R220" t="s">
        <v>48</v>
      </c>
      <c r="S220">
        <v>5747</v>
      </c>
      <c r="T220">
        <v>26496</v>
      </c>
      <c r="U220">
        <v>1</v>
      </c>
      <c r="V220" t="s">
        <v>42</v>
      </c>
      <c r="W220" t="s">
        <v>35</v>
      </c>
      <c r="X220">
        <v>15</v>
      </c>
      <c r="Y220">
        <v>3</v>
      </c>
      <c r="Z220">
        <v>2</v>
      </c>
      <c r="AA220">
        <v>80</v>
      </c>
      <c r="AB220">
        <v>0</v>
      </c>
      <c r="AC220">
        <v>16</v>
      </c>
      <c r="AD220">
        <v>3</v>
      </c>
      <c r="AE220">
        <v>3</v>
      </c>
      <c r="AF220">
        <v>15</v>
      </c>
      <c r="AG220">
        <v>10</v>
      </c>
      <c r="AH220">
        <v>6</v>
      </c>
      <c r="AI220">
        <v>11</v>
      </c>
    </row>
    <row r="221" spans="1:35" x14ac:dyDescent="0.35">
      <c r="A221">
        <v>27</v>
      </c>
      <c r="B221" t="s">
        <v>43</v>
      </c>
      <c r="C221" t="s">
        <v>36</v>
      </c>
      <c r="D221">
        <v>1354</v>
      </c>
      <c r="E221" t="s">
        <v>45</v>
      </c>
      <c r="F221">
        <v>2</v>
      </c>
      <c r="G221">
        <v>4</v>
      </c>
      <c r="H221" t="s">
        <v>60</v>
      </c>
      <c r="I221">
        <v>1</v>
      </c>
      <c r="J221">
        <v>1931</v>
      </c>
      <c r="K221">
        <v>2</v>
      </c>
      <c r="L221" t="s">
        <v>46</v>
      </c>
      <c r="M221">
        <v>41</v>
      </c>
      <c r="N221">
        <v>3</v>
      </c>
      <c r="O221">
        <v>1</v>
      </c>
      <c r="P221" t="s">
        <v>47</v>
      </c>
      <c r="Q221">
        <v>2</v>
      </c>
      <c r="R221" t="s">
        <v>48</v>
      </c>
      <c r="S221">
        <v>2226</v>
      </c>
      <c r="T221">
        <v>6073</v>
      </c>
      <c r="U221">
        <v>1</v>
      </c>
      <c r="V221" t="s">
        <v>42</v>
      </c>
      <c r="W221" t="s">
        <v>43</v>
      </c>
      <c r="X221">
        <v>11</v>
      </c>
      <c r="Y221">
        <v>3</v>
      </c>
      <c r="Z221">
        <v>3</v>
      </c>
      <c r="AA221">
        <v>80</v>
      </c>
      <c r="AB221">
        <v>1</v>
      </c>
      <c r="AC221">
        <v>6</v>
      </c>
      <c r="AD221">
        <v>3</v>
      </c>
      <c r="AE221">
        <v>2</v>
      </c>
      <c r="AF221">
        <v>5</v>
      </c>
      <c r="AG221">
        <v>3</v>
      </c>
      <c r="AH221">
        <v>1</v>
      </c>
      <c r="AI221">
        <v>2</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45</v>
      </c>
      <c r="B225" t="s">
        <v>43</v>
      </c>
      <c r="C225" t="s">
        <v>44</v>
      </c>
      <c r="D225">
        <v>1297</v>
      </c>
      <c r="E225" t="s">
        <v>45</v>
      </c>
      <c r="F225">
        <v>1</v>
      </c>
      <c r="G225">
        <v>4</v>
      </c>
      <c r="H225" t="s">
        <v>51</v>
      </c>
      <c r="I225">
        <v>1</v>
      </c>
      <c r="J225">
        <v>1922</v>
      </c>
      <c r="K225">
        <v>2</v>
      </c>
      <c r="L225" t="s">
        <v>46</v>
      </c>
      <c r="M225">
        <v>44</v>
      </c>
      <c r="N225">
        <v>3</v>
      </c>
      <c r="O225">
        <v>2</v>
      </c>
      <c r="P225" t="s">
        <v>54</v>
      </c>
      <c r="Q225">
        <v>3</v>
      </c>
      <c r="R225" t="s">
        <v>41</v>
      </c>
      <c r="S225">
        <v>5399</v>
      </c>
      <c r="T225">
        <v>14511</v>
      </c>
      <c r="U225">
        <v>4</v>
      </c>
      <c r="V225" t="s">
        <v>42</v>
      </c>
      <c r="W225" t="s">
        <v>43</v>
      </c>
      <c r="X225">
        <v>12</v>
      </c>
      <c r="Y225">
        <v>3</v>
      </c>
      <c r="Z225">
        <v>3</v>
      </c>
      <c r="AA225">
        <v>80</v>
      </c>
      <c r="AB225">
        <v>0</v>
      </c>
      <c r="AC225">
        <v>12</v>
      </c>
      <c r="AD225">
        <v>3</v>
      </c>
      <c r="AE225">
        <v>3</v>
      </c>
      <c r="AF225">
        <v>4</v>
      </c>
      <c r="AG225">
        <v>2</v>
      </c>
      <c r="AH225">
        <v>0</v>
      </c>
      <c r="AI225">
        <v>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26</v>
      </c>
      <c r="B228" t="s">
        <v>43</v>
      </c>
      <c r="C228" t="s">
        <v>44</v>
      </c>
      <c r="D228">
        <v>1096</v>
      </c>
      <c r="E228" t="s">
        <v>45</v>
      </c>
      <c r="F228">
        <v>6</v>
      </c>
      <c r="G228">
        <v>3</v>
      </c>
      <c r="H228" t="s">
        <v>49</v>
      </c>
      <c r="I228">
        <v>1</v>
      </c>
      <c r="J228">
        <v>1918</v>
      </c>
      <c r="K228">
        <v>3</v>
      </c>
      <c r="L228" t="s">
        <v>46</v>
      </c>
      <c r="M228">
        <v>61</v>
      </c>
      <c r="N228">
        <v>4</v>
      </c>
      <c r="O228">
        <v>1</v>
      </c>
      <c r="P228" t="s">
        <v>50</v>
      </c>
      <c r="Q228">
        <v>4</v>
      </c>
      <c r="R228" t="s">
        <v>48</v>
      </c>
      <c r="S228">
        <v>2544</v>
      </c>
      <c r="T228">
        <v>7102</v>
      </c>
      <c r="U228">
        <v>0</v>
      </c>
      <c r="V228" t="s">
        <v>42</v>
      </c>
      <c r="W228" t="s">
        <v>43</v>
      </c>
      <c r="X228">
        <v>18</v>
      </c>
      <c r="Y228">
        <v>3</v>
      </c>
      <c r="Z228">
        <v>1</v>
      </c>
      <c r="AA228">
        <v>80</v>
      </c>
      <c r="AB228">
        <v>1</v>
      </c>
      <c r="AC228">
        <v>8</v>
      </c>
      <c r="AD228">
        <v>3</v>
      </c>
      <c r="AE228">
        <v>3</v>
      </c>
      <c r="AF228">
        <v>7</v>
      </c>
      <c r="AG228">
        <v>7</v>
      </c>
      <c r="AH228">
        <v>7</v>
      </c>
      <c r="AI228">
        <v>7</v>
      </c>
    </row>
    <row r="229" spans="1:35" x14ac:dyDescent="0.35">
      <c r="A229">
        <v>31</v>
      </c>
      <c r="B229" t="s">
        <v>43</v>
      </c>
      <c r="C229" t="s">
        <v>36</v>
      </c>
      <c r="D229">
        <v>471</v>
      </c>
      <c r="E229" t="s">
        <v>45</v>
      </c>
      <c r="F229">
        <v>4</v>
      </c>
      <c r="G229">
        <v>3</v>
      </c>
      <c r="H229" t="s">
        <v>51</v>
      </c>
      <c r="I229">
        <v>1</v>
      </c>
      <c r="J229">
        <v>1916</v>
      </c>
      <c r="K229">
        <v>1</v>
      </c>
      <c r="L229" t="s">
        <v>39</v>
      </c>
      <c r="M229">
        <v>62</v>
      </c>
      <c r="N229">
        <v>4</v>
      </c>
      <c r="O229">
        <v>1</v>
      </c>
      <c r="P229" t="s">
        <v>50</v>
      </c>
      <c r="Q229">
        <v>3</v>
      </c>
      <c r="R229" t="s">
        <v>52</v>
      </c>
      <c r="S229">
        <v>3978</v>
      </c>
      <c r="T229">
        <v>16031</v>
      </c>
      <c r="U229">
        <v>8</v>
      </c>
      <c r="V229" t="s">
        <v>42</v>
      </c>
      <c r="W229" t="s">
        <v>43</v>
      </c>
      <c r="X229">
        <v>12</v>
      </c>
      <c r="Y229">
        <v>3</v>
      </c>
      <c r="Z229">
        <v>2</v>
      </c>
      <c r="AA229">
        <v>80</v>
      </c>
      <c r="AB229">
        <v>1</v>
      </c>
      <c r="AC229">
        <v>4</v>
      </c>
      <c r="AD229">
        <v>0</v>
      </c>
      <c r="AE229">
        <v>2</v>
      </c>
      <c r="AF229">
        <v>2</v>
      </c>
      <c r="AG229">
        <v>2</v>
      </c>
      <c r="AH229">
        <v>2</v>
      </c>
      <c r="AI229">
        <v>2</v>
      </c>
    </row>
    <row r="230" spans="1:35" x14ac:dyDescent="0.35">
      <c r="A230">
        <v>42</v>
      </c>
      <c r="B230" t="s">
        <v>43</v>
      </c>
      <c r="C230" t="s">
        <v>36</v>
      </c>
      <c r="D230">
        <v>1396</v>
      </c>
      <c r="E230" t="s">
        <v>45</v>
      </c>
      <c r="F230">
        <v>6</v>
      </c>
      <c r="G230">
        <v>3</v>
      </c>
      <c r="H230" t="s">
        <v>51</v>
      </c>
      <c r="I230">
        <v>1</v>
      </c>
      <c r="J230">
        <v>1911</v>
      </c>
      <c r="K230">
        <v>3</v>
      </c>
      <c r="L230" t="s">
        <v>46</v>
      </c>
      <c r="M230">
        <v>83</v>
      </c>
      <c r="N230">
        <v>3</v>
      </c>
      <c r="O230">
        <v>3</v>
      </c>
      <c r="P230" t="s">
        <v>58</v>
      </c>
      <c r="Q230">
        <v>1</v>
      </c>
      <c r="R230" t="s">
        <v>48</v>
      </c>
      <c r="S230">
        <v>13348</v>
      </c>
      <c r="T230">
        <v>14842</v>
      </c>
      <c r="U230">
        <v>9</v>
      </c>
      <c r="V230" t="s">
        <v>42</v>
      </c>
      <c r="W230" t="s">
        <v>43</v>
      </c>
      <c r="X230">
        <v>13</v>
      </c>
      <c r="Y230">
        <v>3</v>
      </c>
      <c r="Z230">
        <v>2</v>
      </c>
      <c r="AA230">
        <v>80</v>
      </c>
      <c r="AB230">
        <v>1</v>
      </c>
      <c r="AC230">
        <v>18</v>
      </c>
      <c r="AD230">
        <v>3</v>
      </c>
      <c r="AE230">
        <v>4</v>
      </c>
      <c r="AF230">
        <v>13</v>
      </c>
      <c r="AG230">
        <v>7</v>
      </c>
      <c r="AH230">
        <v>5</v>
      </c>
      <c r="AI230">
        <v>7</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56</v>
      </c>
      <c r="B234" t="s">
        <v>35</v>
      </c>
      <c r="C234" t="s">
        <v>36</v>
      </c>
      <c r="D234">
        <v>1162</v>
      </c>
      <c r="E234" t="s">
        <v>45</v>
      </c>
      <c r="F234">
        <v>24</v>
      </c>
      <c r="G234">
        <v>2</v>
      </c>
      <c r="H234" t="s">
        <v>38</v>
      </c>
      <c r="I234">
        <v>1</v>
      </c>
      <c r="J234">
        <v>1907</v>
      </c>
      <c r="K234">
        <v>1</v>
      </c>
      <c r="L234" t="s">
        <v>46</v>
      </c>
      <c r="M234">
        <v>97</v>
      </c>
      <c r="N234">
        <v>3</v>
      </c>
      <c r="O234">
        <v>1</v>
      </c>
      <c r="P234" t="s">
        <v>50</v>
      </c>
      <c r="Q234">
        <v>4</v>
      </c>
      <c r="R234" t="s">
        <v>41</v>
      </c>
      <c r="S234">
        <v>2587</v>
      </c>
      <c r="T234">
        <v>10261</v>
      </c>
      <c r="U234">
        <v>1</v>
      </c>
      <c r="V234" t="s">
        <v>42</v>
      </c>
      <c r="W234" t="s">
        <v>43</v>
      </c>
      <c r="X234">
        <v>16</v>
      </c>
      <c r="Y234">
        <v>3</v>
      </c>
      <c r="Z234">
        <v>4</v>
      </c>
      <c r="AA234">
        <v>80</v>
      </c>
      <c r="AB234">
        <v>0</v>
      </c>
      <c r="AC234">
        <v>5</v>
      </c>
      <c r="AD234">
        <v>3</v>
      </c>
      <c r="AE234">
        <v>3</v>
      </c>
      <c r="AF234">
        <v>4</v>
      </c>
      <c r="AG234">
        <v>2</v>
      </c>
      <c r="AH234">
        <v>1</v>
      </c>
      <c r="AI234">
        <v>0</v>
      </c>
    </row>
    <row r="235" spans="1:35" x14ac:dyDescent="0.35">
      <c r="A235">
        <v>34</v>
      </c>
      <c r="B235" t="s">
        <v>35</v>
      </c>
      <c r="C235" t="s">
        <v>55</v>
      </c>
      <c r="D235">
        <v>967</v>
      </c>
      <c r="E235" t="s">
        <v>45</v>
      </c>
      <c r="F235">
        <v>16</v>
      </c>
      <c r="G235">
        <v>4</v>
      </c>
      <c r="H235" t="s">
        <v>60</v>
      </c>
      <c r="I235">
        <v>1</v>
      </c>
      <c r="J235">
        <v>1905</v>
      </c>
      <c r="K235">
        <v>4</v>
      </c>
      <c r="L235" t="s">
        <v>46</v>
      </c>
      <c r="M235">
        <v>85</v>
      </c>
      <c r="N235">
        <v>1</v>
      </c>
      <c r="O235">
        <v>1</v>
      </c>
      <c r="P235" t="s">
        <v>47</v>
      </c>
      <c r="Q235">
        <v>1</v>
      </c>
      <c r="R235" t="s">
        <v>48</v>
      </c>
      <c r="S235">
        <v>2307</v>
      </c>
      <c r="T235">
        <v>14460</v>
      </c>
      <c r="U235">
        <v>1</v>
      </c>
      <c r="V235" t="s">
        <v>42</v>
      </c>
      <c r="W235" t="s">
        <v>35</v>
      </c>
      <c r="X235">
        <v>23</v>
      </c>
      <c r="Y235">
        <v>4</v>
      </c>
      <c r="Z235">
        <v>2</v>
      </c>
      <c r="AA235">
        <v>80</v>
      </c>
      <c r="AB235">
        <v>1</v>
      </c>
      <c r="AC235">
        <v>5</v>
      </c>
      <c r="AD235">
        <v>2</v>
      </c>
      <c r="AE235">
        <v>3</v>
      </c>
      <c r="AF235">
        <v>5</v>
      </c>
      <c r="AG235">
        <v>2</v>
      </c>
      <c r="AH235">
        <v>3</v>
      </c>
      <c r="AI235">
        <v>0</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44</v>
      </c>
      <c r="B237" t="s">
        <v>43</v>
      </c>
      <c r="C237" t="s">
        <v>36</v>
      </c>
      <c r="D237">
        <v>170</v>
      </c>
      <c r="E237" t="s">
        <v>45</v>
      </c>
      <c r="F237">
        <v>1</v>
      </c>
      <c r="G237">
        <v>4</v>
      </c>
      <c r="H237" t="s">
        <v>38</v>
      </c>
      <c r="I237">
        <v>1</v>
      </c>
      <c r="J237">
        <v>1903</v>
      </c>
      <c r="K237">
        <v>2</v>
      </c>
      <c r="L237" t="s">
        <v>46</v>
      </c>
      <c r="M237">
        <v>78</v>
      </c>
      <c r="N237">
        <v>4</v>
      </c>
      <c r="O237">
        <v>2</v>
      </c>
      <c r="P237" t="s">
        <v>54</v>
      </c>
      <c r="Q237">
        <v>1</v>
      </c>
      <c r="R237" t="s">
        <v>48</v>
      </c>
      <c r="S237">
        <v>5033</v>
      </c>
      <c r="T237">
        <v>9364</v>
      </c>
      <c r="U237">
        <v>2</v>
      </c>
      <c r="V237" t="s">
        <v>42</v>
      </c>
      <c r="W237" t="s">
        <v>43</v>
      </c>
      <c r="X237">
        <v>15</v>
      </c>
      <c r="Y237">
        <v>3</v>
      </c>
      <c r="Z237">
        <v>4</v>
      </c>
      <c r="AA237">
        <v>80</v>
      </c>
      <c r="AB237">
        <v>1</v>
      </c>
      <c r="AC237">
        <v>10</v>
      </c>
      <c r="AD237">
        <v>5</v>
      </c>
      <c r="AE237">
        <v>3</v>
      </c>
      <c r="AF237">
        <v>2</v>
      </c>
      <c r="AG237">
        <v>0</v>
      </c>
      <c r="AH237">
        <v>2</v>
      </c>
      <c r="AI237">
        <v>2</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48</v>
      </c>
      <c r="B239" t="s">
        <v>43</v>
      </c>
      <c r="C239" t="s">
        <v>44</v>
      </c>
      <c r="D239">
        <v>117</v>
      </c>
      <c r="E239" t="s">
        <v>45</v>
      </c>
      <c r="F239">
        <v>22</v>
      </c>
      <c r="G239">
        <v>3</v>
      </c>
      <c r="H239" t="s">
        <v>51</v>
      </c>
      <c r="I239">
        <v>1</v>
      </c>
      <c r="J239">
        <v>1900</v>
      </c>
      <c r="K239">
        <v>4</v>
      </c>
      <c r="L239" t="s">
        <v>39</v>
      </c>
      <c r="M239">
        <v>58</v>
      </c>
      <c r="N239">
        <v>3</v>
      </c>
      <c r="O239">
        <v>4</v>
      </c>
      <c r="P239" t="s">
        <v>56</v>
      </c>
      <c r="Q239">
        <v>4</v>
      </c>
      <c r="R239" t="s">
        <v>52</v>
      </c>
      <c r="S239">
        <v>17174</v>
      </c>
      <c r="T239">
        <v>2437</v>
      </c>
      <c r="U239">
        <v>3</v>
      </c>
      <c r="V239" t="s">
        <v>42</v>
      </c>
      <c r="W239" t="s">
        <v>43</v>
      </c>
      <c r="X239">
        <v>11</v>
      </c>
      <c r="Y239">
        <v>3</v>
      </c>
      <c r="Z239">
        <v>2</v>
      </c>
      <c r="AA239">
        <v>80</v>
      </c>
      <c r="AB239">
        <v>1</v>
      </c>
      <c r="AC239">
        <v>24</v>
      </c>
      <c r="AD239">
        <v>3</v>
      </c>
      <c r="AE239">
        <v>3</v>
      </c>
      <c r="AF239">
        <v>22</v>
      </c>
      <c r="AG239">
        <v>17</v>
      </c>
      <c r="AH239">
        <v>4</v>
      </c>
      <c r="AI239">
        <v>7</v>
      </c>
    </row>
    <row r="240" spans="1:35" x14ac:dyDescent="0.35">
      <c r="A240">
        <v>26</v>
      </c>
      <c r="B240" t="s">
        <v>43</v>
      </c>
      <c r="C240" t="s">
        <v>36</v>
      </c>
      <c r="D240">
        <v>482</v>
      </c>
      <c r="E240" t="s">
        <v>45</v>
      </c>
      <c r="F240">
        <v>1</v>
      </c>
      <c r="G240">
        <v>2</v>
      </c>
      <c r="H240" t="s">
        <v>38</v>
      </c>
      <c r="I240">
        <v>1</v>
      </c>
      <c r="J240">
        <v>1893</v>
      </c>
      <c r="K240">
        <v>2</v>
      </c>
      <c r="L240" t="s">
        <v>39</v>
      </c>
      <c r="M240">
        <v>90</v>
      </c>
      <c r="N240">
        <v>2</v>
      </c>
      <c r="O240">
        <v>1</v>
      </c>
      <c r="P240" t="s">
        <v>47</v>
      </c>
      <c r="Q240">
        <v>3</v>
      </c>
      <c r="R240" t="s">
        <v>48</v>
      </c>
      <c r="S240">
        <v>2933</v>
      </c>
      <c r="T240">
        <v>14908</v>
      </c>
      <c r="U240">
        <v>1</v>
      </c>
      <c r="V240" t="s">
        <v>42</v>
      </c>
      <c r="W240" t="s">
        <v>35</v>
      </c>
      <c r="X240">
        <v>13</v>
      </c>
      <c r="Y240">
        <v>3</v>
      </c>
      <c r="Z240">
        <v>3</v>
      </c>
      <c r="AA240">
        <v>80</v>
      </c>
      <c r="AB240">
        <v>1</v>
      </c>
      <c r="AC240">
        <v>1</v>
      </c>
      <c r="AD240">
        <v>3</v>
      </c>
      <c r="AE240">
        <v>2</v>
      </c>
      <c r="AF240">
        <v>1</v>
      </c>
      <c r="AG240">
        <v>0</v>
      </c>
      <c r="AH240">
        <v>1</v>
      </c>
      <c r="AI240">
        <v>0</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40</v>
      </c>
      <c r="B243" t="s">
        <v>43</v>
      </c>
      <c r="C243" t="s">
        <v>36</v>
      </c>
      <c r="D243">
        <v>1137</v>
      </c>
      <c r="E243" t="s">
        <v>45</v>
      </c>
      <c r="F243">
        <v>1</v>
      </c>
      <c r="G243">
        <v>4</v>
      </c>
      <c r="H243" t="s">
        <v>38</v>
      </c>
      <c r="I243">
        <v>1</v>
      </c>
      <c r="J243">
        <v>1892</v>
      </c>
      <c r="K243">
        <v>1</v>
      </c>
      <c r="L243" t="s">
        <v>46</v>
      </c>
      <c r="M243">
        <v>98</v>
      </c>
      <c r="N243">
        <v>3</v>
      </c>
      <c r="O243">
        <v>4</v>
      </c>
      <c r="P243" t="s">
        <v>56</v>
      </c>
      <c r="Q243">
        <v>1</v>
      </c>
      <c r="R243" t="s">
        <v>52</v>
      </c>
      <c r="S243">
        <v>16823</v>
      </c>
      <c r="T243">
        <v>18991</v>
      </c>
      <c r="U243">
        <v>2</v>
      </c>
      <c r="V243" t="s">
        <v>42</v>
      </c>
      <c r="W243" t="s">
        <v>43</v>
      </c>
      <c r="X243">
        <v>11</v>
      </c>
      <c r="Y243">
        <v>3</v>
      </c>
      <c r="Z243">
        <v>1</v>
      </c>
      <c r="AA243">
        <v>80</v>
      </c>
      <c r="AB243">
        <v>1</v>
      </c>
      <c r="AC243">
        <v>22</v>
      </c>
      <c r="AD243">
        <v>3</v>
      </c>
      <c r="AE243">
        <v>3</v>
      </c>
      <c r="AF243">
        <v>19</v>
      </c>
      <c r="AG243">
        <v>7</v>
      </c>
      <c r="AH243">
        <v>11</v>
      </c>
      <c r="AI243">
        <v>16</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45</v>
      </c>
      <c r="B256" t="s">
        <v>43</v>
      </c>
      <c r="C256" t="s">
        <v>36</v>
      </c>
      <c r="D256">
        <v>556</v>
      </c>
      <c r="E256" t="s">
        <v>45</v>
      </c>
      <c r="F256">
        <v>25</v>
      </c>
      <c r="G256">
        <v>2</v>
      </c>
      <c r="H256" t="s">
        <v>38</v>
      </c>
      <c r="I256">
        <v>1</v>
      </c>
      <c r="J256">
        <v>1888</v>
      </c>
      <c r="K256">
        <v>2</v>
      </c>
      <c r="L256" t="s">
        <v>39</v>
      </c>
      <c r="M256">
        <v>93</v>
      </c>
      <c r="N256">
        <v>2</v>
      </c>
      <c r="O256">
        <v>2</v>
      </c>
      <c r="P256" t="s">
        <v>53</v>
      </c>
      <c r="Q256">
        <v>4</v>
      </c>
      <c r="R256" t="s">
        <v>48</v>
      </c>
      <c r="S256">
        <v>5906</v>
      </c>
      <c r="T256">
        <v>23888</v>
      </c>
      <c r="U256">
        <v>0</v>
      </c>
      <c r="V256" t="s">
        <v>42</v>
      </c>
      <c r="W256" t="s">
        <v>43</v>
      </c>
      <c r="X256">
        <v>13</v>
      </c>
      <c r="Y256">
        <v>3</v>
      </c>
      <c r="Z256">
        <v>4</v>
      </c>
      <c r="AA256">
        <v>80</v>
      </c>
      <c r="AB256">
        <v>2</v>
      </c>
      <c r="AC256">
        <v>10</v>
      </c>
      <c r="AD256">
        <v>2</v>
      </c>
      <c r="AE256">
        <v>2</v>
      </c>
      <c r="AF256">
        <v>9</v>
      </c>
      <c r="AG256">
        <v>8</v>
      </c>
      <c r="AH256">
        <v>3</v>
      </c>
      <c r="AI256">
        <v>8</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35</v>
      </c>
      <c r="B263" t="s">
        <v>43</v>
      </c>
      <c r="C263" t="s">
        <v>36</v>
      </c>
      <c r="D263">
        <v>219</v>
      </c>
      <c r="E263" t="s">
        <v>45</v>
      </c>
      <c r="F263">
        <v>16</v>
      </c>
      <c r="G263">
        <v>2</v>
      </c>
      <c r="H263" t="s">
        <v>49</v>
      </c>
      <c r="I263">
        <v>1</v>
      </c>
      <c r="J263">
        <v>1886</v>
      </c>
      <c r="K263">
        <v>4</v>
      </c>
      <c r="L263" t="s">
        <v>39</v>
      </c>
      <c r="M263">
        <v>44</v>
      </c>
      <c r="N263">
        <v>2</v>
      </c>
      <c r="O263">
        <v>2</v>
      </c>
      <c r="P263" t="s">
        <v>53</v>
      </c>
      <c r="Q263">
        <v>2</v>
      </c>
      <c r="R263" t="s">
        <v>48</v>
      </c>
      <c r="S263">
        <v>4788</v>
      </c>
      <c r="T263">
        <v>25388</v>
      </c>
      <c r="U263">
        <v>0</v>
      </c>
      <c r="V263" t="s">
        <v>42</v>
      </c>
      <c r="W263" t="s">
        <v>35</v>
      </c>
      <c r="X263">
        <v>11</v>
      </c>
      <c r="Y263">
        <v>3</v>
      </c>
      <c r="Z263">
        <v>4</v>
      </c>
      <c r="AA263">
        <v>80</v>
      </c>
      <c r="AB263">
        <v>0</v>
      </c>
      <c r="AC263">
        <v>4</v>
      </c>
      <c r="AD263">
        <v>2</v>
      </c>
      <c r="AE263">
        <v>3</v>
      </c>
      <c r="AF263">
        <v>3</v>
      </c>
      <c r="AG263">
        <v>2</v>
      </c>
      <c r="AH263">
        <v>0</v>
      </c>
      <c r="AI263">
        <v>2</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37</v>
      </c>
      <c r="B265" t="s">
        <v>43</v>
      </c>
      <c r="C265" t="s">
        <v>36</v>
      </c>
      <c r="D265">
        <v>783</v>
      </c>
      <c r="E265" t="s">
        <v>45</v>
      </c>
      <c r="F265">
        <v>7</v>
      </c>
      <c r="G265">
        <v>4</v>
      </c>
      <c r="H265" t="s">
        <v>51</v>
      </c>
      <c r="I265">
        <v>1</v>
      </c>
      <c r="J265">
        <v>1885</v>
      </c>
      <c r="K265">
        <v>4</v>
      </c>
      <c r="L265" t="s">
        <v>46</v>
      </c>
      <c r="M265">
        <v>78</v>
      </c>
      <c r="N265">
        <v>3</v>
      </c>
      <c r="O265">
        <v>2</v>
      </c>
      <c r="P265" t="s">
        <v>47</v>
      </c>
      <c r="Q265">
        <v>1</v>
      </c>
      <c r="R265" t="s">
        <v>48</v>
      </c>
      <c r="S265">
        <v>4284</v>
      </c>
      <c r="T265">
        <v>13588</v>
      </c>
      <c r="U265">
        <v>5</v>
      </c>
      <c r="V265" t="s">
        <v>42</v>
      </c>
      <c r="W265" t="s">
        <v>35</v>
      </c>
      <c r="X265">
        <v>22</v>
      </c>
      <c r="Y265">
        <v>4</v>
      </c>
      <c r="Z265">
        <v>3</v>
      </c>
      <c r="AA265">
        <v>80</v>
      </c>
      <c r="AB265">
        <v>1</v>
      </c>
      <c r="AC265">
        <v>16</v>
      </c>
      <c r="AD265">
        <v>2</v>
      </c>
      <c r="AE265">
        <v>3</v>
      </c>
      <c r="AF265">
        <v>5</v>
      </c>
      <c r="AG265">
        <v>3</v>
      </c>
      <c r="AH265">
        <v>0</v>
      </c>
      <c r="AI265">
        <v>4</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592</v>
      </c>
      <c r="E267" t="s">
        <v>45</v>
      </c>
      <c r="F267">
        <v>7</v>
      </c>
      <c r="G267">
        <v>3</v>
      </c>
      <c r="H267" t="s">
        <v>38</v>
      </c>
      <c r="I267">
        <v>1</v>
      </c>
      <c r="J267">
        <v>1883</v>
      </c>
      <c r="K267">
        <v>4</v>
      </c>
      <c r="L267" t="s">
        <v>46</v>
      </c>
      <c r="M267">
        <v>59</v>
      </c>
      <c r="N267">
        <v>3</v>
      </c>
      <c r="O267">
        <v>1</v>
      </c>
      <c r="P267" t="s">
        <v>50</v>
      </c>
      <c r="Q267">
        <v>1</v>
      </c>
      <c r="R267" t="s">
        <v>41</v>
      </c>
      <c r="S267">
        <v>2062</v>
      </c>
      <c r="T267">
        <v>19384</v>
      </c>
      <c r="U267">
        <v>3</v>
      </c>
      <c r="V267" t="s">
        <v>42</v>
      </c>
      <c r="W267" t="s">
        <v>43</v>
      </c>
      <c r="X267">
        <v>14</v>
      </c>
      <c r="Y267">
        <v>3</v>
      </c>
      <c r="Z267">
        <v>2</v>
      </c>
      <c r="AA267">
        <v>80</v>
      </c>
      <c r="AB267">
        <v>0</v>
      </c>
      <c r="AC267">
        <v>11</v>
      </c>
      <c r="AD267">
        <v>2</v>
      </c>
      <c r="AE267">
        <v>3</v>
      </c>
      <c r="AF267">
        <v>3</v>
      </c>
      <c r="AG267">
        <v>2</v>
      </c>
      <c r="AH267">
        <v>1</v>
      </c>
      <c r="AI267">
        <v>2</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31</v>
      </c>
      <c r="B275" t="s">
        <v>43</v>
      </c>
      <c r="C275" t="s">
        <v>36</v>
      </c>
      <c r="D275">
        <v>311</v>
      </c>
      <c r="E275" t="s">
        <v>45</v>
      </c>
      <c r="F275">
        <v>20</v>
      </c>
      <c r="G275">
        <v>3</v>
      </c>
      <c r="H275" t="s">
        <v>38</v>
      </c>
      <c r="I275">
        <v>1</v>
      </c>
      <c r="J275">
        <v>1881</v>
      </c>
      <c r="K275">
        <v>2</v>
      </c>
      <c r="L275" t="s">
        <v>46</v>
      </c>
      <c r="M275">
        <v>89</v>
      </c>
      <c r="N275">
        <v>3</v>
      </c>
      <c r="O275">
        <v>2</v>
      </c>
      <c r="P275" t="s">
        <v>50</v>
      </c>
      <c r="Q275">
        <v>3</v>
      </c>
      <c r="R275" t="s">
        <v>52</v>
      </c>
      <c r="S275">
        <v>4197</v>
      </c>
      <c r="T275">
        <v>18624</v>
      </c>
      <c r="U275">
        <v>1</v>
      </c>
      <c r="V275" t="s">
        <v>42</v>
      </c>
      <c r="W275" t="s">
        <v>43</v>
      </c>
      <c r="X275">
        <v>11</v>
      </c>
      <c r="Y275">
        <v>3</v>
      </c>
      <c r="Z275">
        <v>1</v>
      </c>
      <c r="AA275">
        <v>80</v>
      </c>
      <c r="AB275">
        <v>1</v>
      </c>
      <c r="AC275">
        <v>10</v>
      </c>
      <c r="AD275">
        <v>2</v>
      </c>
      <c r="AE275">
        <v>3</v>
      </c>
      <c r="AF275">
        <v>10</v>
      </c>
      <c r="AG275">
        <v>8</v>
      </c>
      <c r="AH275">
        <v>0</v>
      </c>
      <c r="AI275">
        <v>2</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22</v>
      </c>
      <c r="B279" t="s">
        <v>35</v>
      </c>
      <c r="C279" t="s">
        <v>36</v>
      </c>
      <c r="D279">
        <v>391</v>
      </c>
      <c r="E279" t="s">
        <v>45</v>
      </c>
      <c r="F279">
        <v>7</v>
      </c>
      <c r="G279">
        <v>1</v>
      </c>
      <c r="H279" t="s">
        <v>38</v>
      </c>
      <c r="I279">
        <v>1</v>
      </c>
      <c r="J279">
        <v>1878</v>
      </c>
      <c r="K279">
        <v>4</v>
      </c>
      <c r="L279" t="s">
        <v>46</v>
      </c>
      <c r="M279">
        <v>75</v>
      </c>
      <c r="N279">
        <v>3</v>
      </c>
      <c r="O279">
        <v>1</v>
      </c>
      <c r="P279" t="s">
        <v>47</v>
      </c>
      <c r="Q279">
        <v>2</v>
      </c>
      <c r="R279" t="s">
        <v>41</v>
      </c>
      <c r="S279">
        <v>2472</v>
      </c>
      <c r="T279">
        <v>26092</v>
      </c>
      <c r="U279">
        <v>1</v>
      </c>
      <c r="V279" t="s">
        <v>42</v>
      </c>
      <c r="W279" t="s">
        <v>35</v>
      </c>
      <c r="X279">
        <v>23</v>
      </c>
      <c r="Y279">
        <v>4</v>
      </c>
      <c r="Z279">
        <v>1</v>
      </c>
      <c r="AA279">
        <v>80</v>
      </c>
      <c r="AB279">
        <v>0</v>
      </c>
      <c r="AC279">
        <v>1</v>
      </c>
      <c r="AD279">
        <v>2</v>
      </c>
      <c r="AE279">
        <v>3</v>
      </c>
      <c r="AF279">
        <v>1</v>
      </c>
      <c r="AG279">
        <v>0</v>
      </c>
      <c r="AH279">
        <v>0</v>
      </c>
      <c r="AI279">
        <v>0</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55</v>
      </c>
      <c r="B283" t="s">
        <v>43</v>
      </c>
      <c r="C283" t="s">
        <v>36</v>
      </c>
      <c r="D283">
        <v>836</v>
      </c>
      <c r="E283" t="s">
        <v>45</v>
      </c>
      <c r="F283">
        <v>2</v>
      </c>
      <c r="G283">
        <v>4</v>
      </c>
      <c r="H283" t="s">
        <v>60</v>
      </c>
      <c r="I283">
        <v>1</v>
      </c>
      <c r="J283">
        <v>1873</v>
      </c>
      <c r="K283">
        <v>2</v>
      </c>
      <c r="L283" t="s">
        <v>46</v>
      </c>
      <c r="M283">
        <v>98</v>
      </c>
      <c r="N283">
        <v>2</v>
      </c>
      <c r="O283">
        <v>1</v>
      </c>
      <c r="P283" t="s">
        <v>47</v>
      </c>
      <c r="Q283">
        <v>4</v>
      </c>
      <c r="R283" t="s">
        <v>48</v>
      </c>
      <c r="S283">
        <v>2662</v>
      </c>
      <c r="T283">
        <v>7975</v>
      </c>
      <c r="U283">
        <v>8</v>
      </c>
      <c r="V283" t="s">
        <v>42</v>
      </c>
      <c r="W283" t="s">
        <v>43</v>
      </c>
      <c r="X283">
        <v>20</v>
      </c>
      <c r="Y283">
        <v>4</v>
      </c>
      <c r="Z283">
        <v>2</v>
      </c>
      <c r="AA283">
        <v>80</v>
      </c>
      <c r="AB283">
        <v>1</v>
      </c>
      <c r="AC283">
        <v>19</v>
      </c>
      <c r="AD283">
        <v>2</v>
      </c>
      <c r="AE283">
        <v>4</v>
      </c>
      <c r="AF283">
        <v>5</v>
      </c>
      <c r="AG283">
        <v>2</v>
      </c>
      <c r="AH283">
        <v>0</v>
      </c>
      <c r="AI283">
        <v>4</v>
      </c>
    </row>
    <row r="284" spans="1:35" x14ac:dyDescent="0.35">
      <c r="A284">
        <v>39</v>
      </c>
      <c r="B284" t="s">
        <v>43</v>
      </c>
      <c r="C284" t="s">
        <v>36</v>
      </c>
      <c r="D284">
        <v>835</v>
      </c>
      <c r="E284" t="s">
        <v>45</v>
      </c>
      <c r="F284">
        <v>19</v>
      </c>
      <c r="G284">
        <v>4</v>
      </c>
      <c r="H284" t="s">
        <v>49</v>
      </c>
      <c r="I284">
        <v>1</v>
      </c>
      <c r="J284">
        <v>1871</v>
      </c>
      <c r="K284">
        <v>4</v>
      </c>
      <c r="L284" t="s">
        <v>46</v>
      </c>
      <c r="M284">
        <v>41</v>
      </c>
      <c r="N284">
        <v>3</v>
      </c>
      <c r="O284">
        <v>2</v>
      </c>
      <c r="P284" t="s">
        <v>47</v>
      </c>
      <c r="Q284">
        <v>4</v>
      </c>
      <c r="R284" t="s">
        <v>52</v>
      </c>
      <c r="S284">
        <v>3902</v>
      </c>
      <c r="T284">
        <v>5141</v>
      </c>
      <c r="U284">
        <v>8</v>
      </c>
      <c r="V284" t="s">
        <v>42</v>
      </c>
      <c r="W284" t="s">
        <v>43</v>
      </c>
      <c r="X284">
        <v>14</v>
      </c>
      <c r="Y284">
        <v>3</v>
      </c>
      <c r="Z284">
        <v>2</v>
      </c>
      <c r="AA284">
        <v>80</v>
      </c>
      <c r="AB284">
        <v>3</v>
      </c>
      <c r="AC284">
        <v>7</v>
      </c>
      <c r="AD284">
        <v>2</v>
      </c>
      <c r="AE284">
        <v>3</v>
      </c>
      <c r="AF284">
        <v>2</v>
      </c>
      <c r="AG284">
        <v>2</v>
      </c>
      <c r="AH284">
        <v>2</v>
      </c>
      <c r="AI284">
        <v>2</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27</v>
      </c>
      <c r="B294" t="s">
        <v>43</v>
      </c>
      <c r="C294" t="s">
        <v>44</v>
      </c>
      <c r="D294">
        <v>1131</v>
      </c>
      <c r="E294" t="s">
        <v>45</v>
      </c>
      <c r="F294">
        <v>15</v>
      </c>
      <c r="G294">
        <v>3</v>
      </c>
      <c r="H294" t="s">
        <v>38</v>
      </c>
      <c r="I294">
        <v>1</v>
      </c>
      <c r="J294">
        <v>1870</v>
      </c>
      <c r="K294">
        <v>4</v>
      </c>
      <c r="L294" t="s">
        <v>39</v>
      </c>
      <c r="M294">
        <v>77</v>
      </c>
      <c r="N294">
        <v>2</v>
      </c>
      <c r="O294">
        <v>1</v>
      </c>
      <c r="P294" t="s">
        <v>47</v>
      </c>
      <c r="Q294">
        <v>1</v>
      </c>
      <c r="R294" t="s">
        <v>48</v>
      </c>
      <c r="S294">
        <v>4774</v>
      </c>
      <c r="T294">
        <v>23844</v>
      </c>
      <c r="U294">
        <v>0</v>
      </c>
      <c r="V294" t="s">
        <v>42</v>
      </c>
      <c r="W294" t="s">
        <v>43</v>
      </c>
      <c r="X294">
        <v>19</v>
      </c>
      <c r="Y294">
        <v>3</v>
      </c>
      <c r="Z294">
        <v>4</v>
      </c>
      <c r="AA294">
        <v>80</v>
      </c>
      <c r="AB294">
        <v>1</v>
      </c>
      <c r="AC294">
        <v>8</v>
      </c>
      <c r="AD294">
        <v>2</v>
      </c>
      <c r="AE294">
        <v>2</v>
      </c>
      <c r="AF294">
        <v>7</v>
      </c>
      <c r="AG294">
        <v>6</v>
      </c>
      <c r="AH294">
        <v>7</v>
      </c>
      <c r="AI294">
        <v>3</v>
      </c>
    </row>
    <row r="295" spans="1:35" x14ac:dyDescent="0.35">
      <c r="A295">
        <v>29</v>
      </c>
      <c r="B295" t="s">
        <v>35</v>
      </c>
      <c r="C295" t="s">
        <v>44</v>
      </c>
      <c r="D295">
        <v>459</v>
      </c>
      <c r="E295" t="s">
        <v>45</v>
      </c>
      <c r="F295">
        <v>24</v>
      </c>
      <c r="G295">
        <v>2</v>
      </c>
      <c r="H295" t="s">
        <v>38</v>
      </c>
      <c r="I295">
        <v>1</v>
      </c>
      <c r="J295">
        <v>1868</v>
      </c>
      <c r="K295">
        <v>4</v>
      </c>
      <c r="L295" t="s">
        <v>46</v>
      </c>
      <c r="M295">
        <v>73</v>
      </c>
      <c r="N295">
        <v>2</v>
      </c>
      <c r="O295">
        <v>1</v>
      </c>
      <c r="P295" t="s">
        <v>47</v>
      </c>
      <c r="Q295">
        <v>4</v>
      </c>
      <c r="R295" t="s">
        <v>41</v>
      </c>
      <c r="S295">
        <v>2439</v>
      </c>
      <c r="T295">
        <v>14753</v>
      </c>
      <c r="U295">
        <v>1</v>
      </c>
      <c r="V295" t="s">
        <v>42</v>
      </c>
      <c r="W295" t="s">
        <v>35</v>
      </c>
      <c r="X295">
        <v>24</v>
      </c>
      <c r="Y295">
        <v>4</v>
      </c>
      <c r="Z295">
        <v>2</v>
      </c>
      <c r="AA295">
        <v>80</v>
      </c>
      <c r="AB295">
        <v>0</v>
      </c>
      <c r="AC295">
        <v>1</v>
      </c>
      <c r="AD295">
        <v>3</v>
      </c>
      <c r="AE295">
        <v>2</v>
      </c>
      <c r="AF295">
        <v>1</v>
      </c>
      <c r="AG295">
        <v>0</v>
      </c>
      <c r="AH295">
        <v>1</v>
      </c>
      <c r="AI295">
        <v>0</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48</v>
      </c>
      <c r="B297" t="s">
        <v>43</v>
      </c>
      <c r="C297" t="s">
        <v>36</v>
      </c>
      <c r="D297">
        <v>1224</v>
      </c>
      <c r="E297" t="s">
        <v>45</v>
      </c>
      <c r="F297">
        <v>10</v>
      </c>
      <c r="G297">
        <v>3</v>
      </c>
      <c r="H297" t="s">
        <v>38</v>
      </c>
      <c r="I297">
        <v>1</v>
      </c>
      <c r="J297">
        <v>1867</v>
      </c>
      <c r="K297">
        <v>4</v>
      </c>
      <c r="L297" t="s">
        <v>46</v>
      </c>
      <c r="M297">
        <v>91</v>
      </c>
      <c r="N297">
        <v>2</v>
      </c>
      <c r="O297">
        <v>5</v>
      </c>
      <c r="P297" t="s">
        <v>58</v>
      </c>
      <c r="Q297">
        <v>2</v>
      </c>
      <c r="R297" t="s">
        <v>48</v>
      </c>
      <c r="S297">
        <v>19665</v>
      </c>
      <c r="T297">
        <v>13583</v>
      </c>
      <c r="U297">
        <v>4</v>
      </c>
      <c r="V297" t="s">
        <v>42</v>
      </c>
      <c r="W297" t="s">
        <v>43</v>
      </c>
      <c r="X297">
        <v>12</v>
      </c>
      <c r="Y297">
        <v>3</v>
      </c>
      <c r="Z297">
        <v>4</v>
      </c>
      <c r="AA297">
        <v>80</v>
      </c>
      <c r="AB297">
        <v>0</v>
      </c>
      <c r="AC297">
        <v>29</v>
      </c>
      <c r="AD297">
        <v>3</v>
      </c>
      <c r="AE297">
        <v>3</v>
      </c>
      <c r="AF297">
        <v>22</v>
      </c>
      <c r="AG297">
        <v>10</v>
      </c>
      <c r="AH297">
        <v>12</v>
      </c>
      <c r="AI297">
        <v>9</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43</v>
      </c>
      <c r="B299" t="s">
        <v>43</v>
      </c>
      <c r="C299" t="s">
        <v>36</v>
      </c>
      <c r="D299">
        <v>823</v>
      </c>
      <c r="E299" t="s">
        <v>45</v>
      </c>
      <c r="F299">
        <v>6</v>
      </c>
      <c r="G299">
        <v>3</v>
      </c>
      <c r="H299" t="s">
        <v>51</v>
      </c>
      <c r="I299">
        <v>1</v>
      </c>
      <c r="J299">
        <v>1866</v>
      </c>
      <c r="K299">
        <v>1</v>
      </c>
      <c r="L299" t="s">
        <v>39</v>
      </c>
      <c r="M299">
        <v>81</v>
      </c>
      <c r="N299">
        <v>2</v>
      </c>
      <c r="O299">
        <v>5</v>
      </c>
      <c r="P299" t="s">
        <v>56</v>
      </c>
      <c r="Q299">
        <v>3</v>
      </c>
      <c r="R299" t="s">
        <v>48</v>
      </c>
      <c r="S299">
        <v>19392</v>
      </c>
      <c r="T299">
        <v>22539</v>
      </c>
      <c r="U299">
        <v>7</v>
      </c>
      <c r="V299" t="s">
        <v>42</v>
      </c>
      <c r="W299" t="s">
        <v>43</v>
      </c>
      <c r="X299">
        <v>13</v>
      </c>
      <c r="Y299">
        <v>3</v>
      </c>
      <c r="Z299">
        <v>4</v>
      </c>
      <c r="AA299">
        <v>80</v>
      </c>
      <c r="AB299">
        <v>0</v>
      </c>
      <c r="AC299">
        <v>21</v>
      </c>
      <c r="AD299">
        <v>2</v>
      </c>
      <c r="AE299">
        <v>3</v>
      </c>
      <c r="AF299">
        <v>16</v>
      </c>
      <c r="AG299">
        <v>12</v>
      </c>
      <c r="AH299">
        <v>6</v>
      </c>
      <c r="AI299">
        <v>14</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42</v>
      </c>
      <c r="B302" t="s">
        <v>43</v>
      </c>
      <c r="C302" t="s">
        <v>36</v>
      </c>
      <c r="D302">
        <v>1142</v>
      </c>
      <c r="E302" t="s">
        <v>45</v>
      </c>
      <c r="F302">
        <v>8</v>
      </c>
      <c r="G302">
        <v>3</v>
      </c>
      <c r="H302" t="s">
        <v>38</v>
      </c>
      <c r="I302">
        <v>1</v>
      </c>
      <c r="J302">
        <v>1860</v>
      </c>
      <c r="K302">
        <v>4</v>
      </c>
      <c r="L302" t="s">
        <v>46</v>
      </c>
      <c r="M302">
        <v>81</v>
      </c>
      <c r="N302">
        <v>3</v>
      </c>
      <c r="O302">
        <v>1</v>
      </c>
      <c r="P302" t="s">
        <v>50</v>
      </c>
      <c r="Q302">
        <v>3</v>
      </c>
      <c r="R302" t="s">
        <v>41</v>
      </c>
      <c r="S302">
        <v>3968</v>
      </c>
      <c r="T302">
        <v>13624</v>
      </c>
      <c r="U302">
        <v>4</v>
      </c>
      <c r="V302" t="s">
        <v>42</v>
      </c>
      <c r="W302" t="s">
        <v>43</v>
      </c>
      <c r="X302">
        <v>13</v>
      </c>
      <c r="Y302">
        <v>3</v>
      </c>
      <c r="Z302">
        <v>4</v>
      </c>
      <c r="AA302">
        <v>80</v>
      </c>
      <c r="AB302">
        <v>0</v>
      </c>
      <c r="AC302">
        <v>8</v>
      </c>
      <c r="AD302">
        <v>3</v>
      </c>
      <c r="AE302">
        <v>3</v>
      </c>
      <c r="AF302">
        <v>0</v>
      </c>
      <c r="AG302">
        <v>0</v>
      </c>
      <c r="AH302">
        <v>0</v>
      </c>
      <c r="AI302">
        <v>0</v>
      </c>
    </row>
    <row r="303" spans="1:35" x14ac:dyDescent="0.35">
      <c r="A303">
        <v>29</v>
      </c>
      <c r="B303" t="s">
        <v>43</v>
      </c>
      <c r="C303" t="s">
        <v>36</v>
      </c>
      <c r="D303">
        <v>726</v>
      </c>
      <c r="E303" t="s">
        <v>45</v>
      </c>
      <c r="F303">
        <v>29</v>
      </c>
      <c r="G303">
        <v>1</v>
      </c>
      <c r="H303" t="s">
        <v>38</v>
      </c>
      <c r="I303">
        <v>1</v>
      </c>
      <c r="J303">
        <v>1859</v>
      </c>
      <c r="K303">
        <v>4</v>
      </c>
      <c r="L303" t="s">
        <v>46</v>
      </c>
      <c r="M303">
        <v>93</v>
      </c>
      <c r="N303">
        <v>1</v>
      </c>
      <c r="O303">
        <v>2</v>
      </c>
      <c r="P303" t="s">
        <v>54</v>
      </c>
      <c r="Q303">
        <v>3</v>
      </c>
      <c r="R303" t="s">
        <v>52</v>
      </c>
      <c r="S303">
        <v>6384</v>
      </c>
      <c r="T303">
        <v>21143</v>
      </c>
      <c r="U303">
        <v>8</v>
      </c>
      <c r="V303" t="s">
        <v>42</v>
      </c>
      <c r="W303" t="s">
        <v>43</v>
      </c>
      <c r="X303">
        <v>17</v>
      </c>
      <c r="Y303">
        <v>3</v>
      </c>
      <c r="Z303">
        <v>4</v>
      </c>
      <c r="AA303">
        <v>80</v>
      </c>
      <c r="AB303">
        <v>2</v>
      </c>
      <c r="AC303">
        <v>11</v>
      </c>
      <c r="AD303">
        <v>3</v>
      </c>
      <c r="AE303">
        <v>3</v>
      </c>
      <c r="AF303">
        <v>7</v>
      </c>
      <c r="AG303">
        <v>0</v>
      </c>
      <c r="AH303">
        <v>1</v>
      </c>
      <c r="AI303">
        <v>6</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46</v>
      </c>
      <c r="B305" t="s">
        <v>43</v>
      </c>
      <c r="C305" t="s">
        <v>36</v>
      </c>
      <c r="D305">
        <v>706</v>
      </c>
      <c r="E305" t="s">
        <v>45</v>
      </c>
      <c r="F305">
        <v>2</v>
      </c>
      <c r="G305">
        <v>2</v>
      </c>
      <c r="H305" t="s">
        <v>38</v>
      </c>
      <c r="I305">
        <v>1</v>
      </c>
      <c r="J305">
        <v>1857</v>
      </c>
      <c r="K305">
        <v>4</v>
      </c>
      <c r="L305" t="s">
        <v>46</v>
      </c>
      <c r="M305">
        <v>82</v>
      </c>
      <c r="N305">
        <v>3</v>
      </c>
      <c r="O305">
        <v>3</v>
      </c>
      <c r="P305" t="s">
        <v>53</v>
      </c>
      <c r="Q305">
        <v>4</v>
      </c>
      <c r="R305" t="s">
        <v>52</v>
      </c>
      <c r="S305">
        <v>8578</v>
      </c>
      <c r="T305">
        <v>19989</v>
      </c>
      <c r="U305">
        <v>3</v>
      </c>
      <c r="V305" t="s">
        <v>42</v>
      </c>
      <c r="W305" t="s">
        <v>43</v>
      </c>
      <c r="X305">
        <v>14</v>
      </c>
      <c r="Y305">
        <v>3</v>
      </c>
      <c r="Z305">
        <v>3</v>
      </c>
      <c r="AA305">
        <v>80</v>
      </c>
      <c r="AB305">
        <v>1</v>
      </c>
      <c r="AC305">
        <v>12</v>
      </c>
      <c r="AD305">
        <v>4</v>
      </c>
      <c r="AE305">
        <v>2</v>
      </c>
      <c r="AF305">
        <v>9</v>
      </c>
      <c r="AG305">
        <v>8</v>
      </c>
      <c r="AH305">
        <v>4</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47</v>
      </c>
      <c r="B308" t="s">
        <v>43</v>
      </c>
      <c r="C308" t="s">
        <v>36</v>
      </c>
      <c r="D308">
        <v>207</v>
      </c>
      <c r="E308" t="s">
        <v>45</v>
      </c>
      <c r="F308">
        <v>9</v>
      </c>
      <c r="G308">
        <v>4</v>
      </c>
      <c r="H308" t="s">
        <v>38</v>
      </c>
      <c r="I308">
        <v>1</v>
      </c>
      <c r="J308">
        <v>1856</v>
      </c>
      <c r="K308">
        <v>2</v>
      </c>
      <c r="L308" t="s">
        <v>39</v>
      </c>
      <c r="M308">
        <v>64</v>
      </c>
      <c r="N308">
        <v>3</v>
      </c>
      <c r="O308">
        <v>1</v>
      </c>
      <c r="P308" t="s">
        <v>50</v>
      </c>
      <c r="Q308">
        <v>3</v>
      </c>
      <c r="R308" t="s">
        <v>41</v>
      </c>
      <c r="S308">
        <v>2105</v>
      </c>
      <c r="T308">
        <v>5411</v>
      </c>
      <c r="U308">
        <v>4</v>
      </c>
      <c r="V308" t="s">
        <v>42</v>
      </c>
      <c r="W308" t="s">
        <v>43</v>
      </c>
      <c r="X308">
        <v>12</v>
      </c>
      <c r="Y308">
        <v>3</v>
      </c>
      <c r="Z308">
        <v>3</v>
      </c>
      <c r="AA308">
        <v>80</v>
      </c>
      <c r="AB308">
        <v>0</v>
      </c>
      <c r="AC308">
        <v>7</v>
      </c>
      <c r="AD308">
        <v>2</v>
      </c>
      <c r="AE308">
        <v>3</v>
      </c>
      <c r="AF308">
        <v>2</v>
      </c>
      <c r="AG308">
        <v>2</v>
      </c>
      <c r="AH308">
        <v>2</v>
      </c>
      <c r="AI308">
        <v>0</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42</v>
      </c>
      <c r="B312" t="s">
        <v>43</v>
      </c>
      <c r="C312" t="s">
        <v>55</v>
      </c>
      <c r="D312">
        <v>355</v>
      </c>
      <c r="E312" t="s">
        <v>45</v>
      </c>
      <c r="F312">
        <v>10</v>
      </c>
      <c r="G312">
        <v>4</v>
      </c>
      <c r="H312" t="s">
        <v>60</v>
      </c>
      <c r="I312">
        <v>1</v>
      </c>
      <c r="J312">
        <v>1854</v>
      </c>
      <c r="K312">
        <v>3</v>
      </c>
      <c r="L312" t="s">
        <v>46</v>
      </c>
      <c r="M312">
        <v>38</v>
      </c>
      <c r="N312">
        <v>3</v>
      </c>
      <c r="O312">
        <v>1</v>
      </c>
      <c r="P312" t="s">
        <v>47</v>
      </c>
      <c r="Q312">
        <v>3</v>
      </c>
      <c r="R312" t="s">
        <v>48</v>
      </c>
      <c r="S312">
        <v>2936</v>
      </c>
      <c r="T312">
        <v>6161</v>
      </c>
      <c r="U312">
        <v>3</v>
      </c>
      <c r="V312" t="s">
        <v>42</v>
      </c>
      <c r="W312" t="s">
        <v>43</v>
      </c>
      <c r="X312">
        <v>22</v>
      </c>
      <c r="Y312">
        <v>4</v>
      </c>
      <c r="Z312">
        <v>2</v>
      </c>
      <c r="AA312">
        <v>80</v>
      </c>
      <c r="AB312">
        <v>2</v>
      </c>
      <c r="AC312">
        <v>10</v>
      </c>
      <c r="AD312">
        <v>1</v>
      </c>
      <c r="AE312">
        <v>2</v>
      </c>
      <c r="AF312">
        <v>6</v>
      </c>
      <c r="AG312">
        <v>3</v>
      </c>
      <c r="AH312">
        <v>3</v>
      </c>
      <c r="AI312">
        <v>3</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29</v>
      </c>
      <c r="B321" t="s">
        <v>43</v>
      </c>
      <c r="C321" t="s">
        <v>44</v>
      </c>
      <c r="D321">
        <v>574</v>
      </c>
      <c r="E321" t="s">
        <v>45</v>
      </c>
      <c r="F321">
        <v>20</v>
      </c>
      <c r="G321">
        <v>1</v>
      </c>
      <c r="H321" t="s">
        <v>51</v>
      </c>
      <c r="I321">
        <v>1</v>
      </c>
      <c r="J321">
        <v>1852</v>
      </c>
      <c r="K321">
        <v>4</v>
      </c>
      <c r="L321" t="s">
        <v>46</v>
      </c>
      <c r="M321">
        <v>40</v>
      </c>
      <c r="N321">
        <v>3</v>
      </c>
      <c r="O321">
        <v>1</v>
      </c>
      <c r="P321" t="s">
        <v>50</v>
      </c>
      <c r="Q321">
        <v>4</v>
      </c>
      <c r="R321" t="s">
        <v>48</v>
      </c>
      <c r="S321">
        <v>3812</v>
      </c>
      <c r="T321">
        <v>7003</v>
      </c>
      <c r="U321">
        <v>1</v>
      </c>
      <c r="V321" t="s">
        <v>42</v>
      </c>
      <c r="W321" t="s">
        <v>43</v>
      </c>
      <c r="X321">
        <v>13</v>
      </c>
      <c r="Y321">
        <v>3</v>
      </c>
      <c r="Z321">
        <v>2</v>
      </c>
      <c r="AA321">
        <v>80</v>
      </c>
      <c r="AB321">
        <v>0</v>
      </c>
      <c r="AC321">
        <v>11</v>
      </c>
      <c r="AD321">
        <v>3</v>
      </c>
      <c r="AE321">
        <v>4</v>
      </c>
      <c r="AF321">
        <v>11</v>
      </c>
      <c r="AG321">
        <v>8</v>
      </c>
      <c r="AH321">
        <v>3</v>
      </c>
      <c r="AI321">
        <v>10</v>
      </c>
    </row>
    <row r="322" spans="1:35" x14ac:dyDescent="0.35">
      <c r="A322">
        <v>27</v>
      </c>
      <c r="B322" t="s">
        <v>43</v>
      </c>
      <c r="C322" t="s">
        <v>44</v>
      </c>
      <c r="D322">
        <v>1297</v>
      </c>
      <c r="E322" t="s">
        <v>45</v>
      </c>
      <c r="F322">
        <v>5</v>
      </c>
      <c r="G322">
        <v>2</v>
      </c>
      <c r="H322" t="s">
        <v>38</v>
      </c>
      <c r="I322">
        <v>1</v>
      </c>
      <c r="J322">
        <v>1850</v>
      </c>
      <c r="K322">
        <v>4</v>
      </c>
      <c r="L322" t="s">
        <v>39</v>
      </c>
      <c r="M322">
        <v>53</v>
      </c>
      <c r="N322">
        <v>3</v>
      </c>
      <c r="O322">
        <v>1</v>
      </c>
      <c r="P322" t="s">
        <v>50</v>
      </c>
      <c r="Q322">
        <v>4</v>
      </c>
      <c r="R322" t="s">
        <v>41</v>
      </c>
      <c r="S322">
        <v>2379</v>
      </c>
      <c r="T322">
        <v>19826</v>
      </c>
      <c r="U322">
        <v>0</v>
      </c>
      <c r="V322" t="s">
        <v>42</v>
      </c>
      <c r="W322" t="s">
        <v>35</v>
      </c>
      <c r="X322">
        <v>14</v>
      </c>
      <c r="Y322">
        <v>3</v>
      </c>
      <c r="Z322">
        <v>3</v>
      </c>
      <c r="AA322">
        <v>80</v>
      </c>
      <c r="AB322">
        <v>0</v>
      </c>
      <c r="AC322">
        <v>6</v>
      </c>
      <c r="AD322">
        <v>3</v>
      </c>
      <c r="AE322">
        <v>2</v>
      </c>
      <c r="AF322">
        <v>5</v>
      </c>
      <c r="AG322">
        <v>4</v>
      </c>
      <c r="AH322">
        <v>0</v>
      </c>
      <c r="AI322">
        <v>2</v>
      </c>
    </row>
    <row r="323" spans="1:35" x14ac:dyDescent="0.35">
      <c r="A323">
        <v>36</v>
      </c>
      <c r="B323" t="s">
        <v>43</v>
      </c>
      <c r="C323" t="s">
        <v>36</v>
      </c>
      <c r="D323">
        <v>430</v>
      </c>
      <c r="E323" t="s">
        <v>45</v>
      </c>
      <c r="F323">
        <v>2</v>
      </c>
      <c r="G323">
        <v>4</v>
      </c>
      <c r="H323" t="s">
        <v>49</v>
      </c>
      <c r="I323">
        <v>1</v>
      </c>
      <c r="J323">
        <v>1847</v>
      </c>
      <c r="K323">
        <v>4</v>
      </c>
      <c r="L323" t="s">
        <v>39</v>
      </c>
      <c r="M323">
        <v>73</v>
      </c>
      <c r="N323">
        <v>3</v>
      </c>
      <c r="O323">
        <v>2</v>
      </c>
      <c r="P323" t="s">
        <v>47</v>
      </c>
      <c r="Q323">
        <v>2</v>
      </c>
      <c r="R323" t="s">
        <v>48</v>
      </c>
      <c r="S323">
        <v>6962</v>
      </c>
      <c r="T323">
        <v>19573</v>
      </c>
      <c r="U323">
        <v>4</v>
      </c>
      <c r="V323" t="s">
        <v>42</v>
      </c>
      <c r="W323" t="s">
        <v>35</v>
      </c>
      <c r="X323">
        <v>22</v>
      </c>
      <c r="Y323">
        <v>4</v>
      </c>
      <c r="Z323">
        <v>4</v>
      </c>
      <c r="AA323">
        <v>80</v>
      </c>
      <c r="AB323">
        <v>1</v>
      </c>
      <c r="AC323">
        <v>15</v>
      </c>
      <c r="AD323">
        <v>2</v>
      </c>
      <c r="AE323">
        <v>3</v>
      </c>
      <c r="AF323">
        <v>1</v>
      </c>
      <c r="AG323">
        <v>0</v>
      </c>
      <c r="AH323">
        <v>0</v>
      </c>
      <c r="AI323">
        <v>0</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18</v>
      </c>
      <c r="B329" t="s">
        <v>43</v>
      </c>
      <c r="C329" t="s">
        <v>55</v>
      </c>
      <c r="D329">
        <v>1431</v>
      </c>
      <c r="E329" t="s">
        <v>45</v>
      </c>
      <c r="F329">
        <v>14</v>
      </c>
      <c r="G329">
        <v>3</v>
      </c>
      <c r="H329" t="s">
        <v>51</v>
      </c>
      <c r="I329">
        <v>1</v>
      </c>
      <c r="J329">
        <v>1839</v>
      </c>
      <c r="K329">
        <v>2</v>
      </c>
      <c r="L329" t="s">
        <v>39</v>
      </c>
      <c r="M329">
        <v>33</v>
      </c>
      <c r="N329">
        <v>3</v>
      </c>
      <c r="O329">
        <v>1</v>
      </c>
      <c r="P329" t="s">
        <v>47</v>
      </c>
      <c r="Q329">
        <v>3</v>
      </c>
      <c r="R329" t="s">
        <v>41</v>
      </c>
      <c r="S329">
        <v>1514</v>
      </c>
      <c r="T329">
        <v>8018</v>
      </c>
      <c r="U329">
        <v>1</v>
      </c>
      <c r="V329" t="s">
        <v>42</v>
      </c>
      <c r="W329" t="s">
        <v>43</v>
      </c>
      <c r="X329">
        <v>16</v>
      </c>
      <c r="Y329">
        <v>3</v>
      </c>
      <c r="Z329">
        <v>3</v>
      </c>
      <c r="AA329">
        <v>80</v>
      </c>
      <c r="AB329">
        <v>0</v>
      </c>
      <c r="AC329">
        <v>0</v>
      </c>
      <c r="AD329">
        <v>4</v>
      </c>
      <c r="AE329">
        <v>1</v>
      </c>
      <c r="AF329">
        <v>0</v>
      </c>
      <c r="AG329">
        <v>0</v>
      </c>
      <c r="AH329">
        <v>0</v>
      </c>
      <c r="AI329">
        <v>0</v>
      </c>
    </row>
    <row r="330" spans="1:35" x14ac:dyDescent="0.35">
      <c r="A330">
        <v>58</v>
      </c>
      <c r="B330" t="s">
        <v>43</v>
      </c>
      <c r="C330" t="s">
        <v>44</v>
      </c>
      <c r="D330">
        <v>1216</v>
      </c>
      <c r="E330" t="s">
        <v>45</v>
      </c>
      <c r="F330">
        <v>15</v>
      </c>
      <c r="G330">
        <v>4</v>
      </c>
      <c r="H330" t="s">
        <v>38</v>
      </c>
      <c r="I330">
        <v>1</v>
      </c>
      <c r="J330">
        <v>1837</v>
      </c>
      <c r="K330">
        <v>1</v>
      </c>
      <c r="L330" t="s">
        <v>46</v>
      </c>
      <c r="M330">
        <v>87</v>
      </c>
      <c r="N330">
        <v>3</v>
      </c>
      <c r="O330">
        <v>4</v>
      </c>
      <c r="P330" t="s">
        <v>58</v>
      </c>
      <c r="Q330">
        <v>3</v>
      </c>
      <c r="R330" t="s">
        <v>48</v>
      </c>
      <c r="S330">
        <v>15787</v>
      </c>
      <c r="T330">
        <v>21624</v>
      </c>
      <c r="U330">
        <v>2</v>
      </c>
      <c r="V330" t="s">
        <v>42</v>
      </c>
      <c r="W330" t="s">
        <v>35</v>
      </c>
      <c r="X330">
        <v>14</v>
      </c>
      <c r="Y330">
        <v>3</v>
      </c>
      <c r="Z330">
        <v>2</v>
      </c>
      <c r="AA330">
        <v>80</v>
      </c>
      <c r="AB330">
        <v>0</v>
      </c>
      <c r="AC330">
        <v>23</v>
      </c>
      <c r="AD330">
        <v>3</v>
      </c>
      <c r="AE330">
        <v>3</v>
      </c>
      <c r="AF330">
        <v>2</v>
      </c>
      <c r="AG330">
        <v>2</v>
      </c>
      <c r="AH330">
        <v>2</v>
      </c>
      <c r="AI330">
        <v>2</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28</v>
      </c>
      <c r="B333" t="s">
        <v>43</v>
      </c>
      <c r="C333" t="s">
        <v>36</v>
      </c>
      <c r="D333">
        <v>1217</v>
      </c>
      <c r="E333" t="s">
        <v>45</v>
      </c>
      <c r="F333">
        <v>1</v>
      </c>
      <c r="G333">
        <v>3</v>
      </c>
      <c r="H333" t="s">
        <v>51</v>
      </c>
      <c r="I333">
        <v>1</v>
      </c>
      <c r="J333">
        <v>1834</v>
      </c>
      <c r="K333">
        <v>3</v>
      </c>
      <c r="L333" t="s">
        <v>39</v>
      </c>
      <c r="M333">
        <v>67</v>
      </c>
      <c r="N333">
        <v>3</v>
      </c>
      <c r="O333">
        <v>1</v>
      </c>
      <c r="P333" t="s">
        <v>47</v>
      </c>
      <c r="Q333">
        <v>1</v>
      </c>
      <c r="R333" t="s">
        <v>48</v>
      </c>
      <c r="S333">
        <v>3591</v>
      </c>
      <c r="T333">
        <v>12719</v>
      </c>
      <c r="U333">
        <v>1</v>
      </c>
      <c r="V333" t="s">
        <v>42</v>
      </c>
      <c r="W333" t="s">
        <v>43</v>
      </c>
      <c r="X333">
        <v>25</v>
      </c>
      <c r="Y333">
        <v>4</v>
      </c>
      <c r="Z333">
        <v>3</v>
      </c>
      <c r="AA333">
        <v>80</v>
      </c>
      <c r="AB333">
        <v>1</v>
      </c>
      <c r="AC333">
        <v>3</v>
      </c>
      <c r="AD333">
        <v>3</v>
      </c>
      <c r="AE333">
        <v>3</v>
      </c>
      <c r="AF333">
        <v>3</v>
      </c>
      <c r="AG333">
        <v>2</v>
      </c>
      <c r="AH333">
        <v>1</v>
      </c>
      <c r="AI333">
        <v>2</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54</v>
      </c>
      <c r="B337" t="s">
        <v>43</v>
      </c>
      <c r="C337" t="s">
        <v>36</v>
      </c>
      <c r="D337">
        <v>431</v>
      </c>
      <c r="E337" t="s">
        <v>45</v>
      </c>
      <c r="F337">
        <v>7</v>
      </c>
      <c r="G337">
        <v>4</v>
      </c>
      <c r="H337" t="s">
        <v>51</v>
      </c>
      <c r="I337">
        <v>1</v>
      </c>
      <c r="J337">
        <v>1830</v>
      </c>
      <c r="K337">
        <v>4</v>
      </c>
      <c r="L337" t="s">
        <v>39</v>
      </c>
      <c r="M337">
        <v>68</v>
      </c>
      <c r="N337">
        <v>3</v>
      </c>
      <c r="O337">
        <v>2</v>
      </c>
      <c r="P337" t="s">
        <v>47</v>
      </c>
      <c r="Q337">
        <v>4</v>
      </c>
      <c r="R337" t="s">
        <v>48</v>
      </c>
      <c r="S337">
        <v>6854</v>
      </c>
      <c r="T337">
        <v>15696</v>
      </c>
      <c r="U337">
        <v>4</v>
      </c>
      <c r="V337" t="s">
        <v>42</v>
      </c>
      <c r="W337" t="s">
        <v>43</v>
      </c>
      <c r="X337">
        <v>15</v>
      </c>
      <c r="Y337">
        <v>3</v>
      </c>
      <c r="Z337">
        <v>2</v>
      </c>
      <c r="AA337">
        <v>80</v>
      </c>
      <c r="AB337">
        <v>1</v>
      </c>
      <c r="AC337">
        <v>14</v>
      </c>
      <c r="AD337">
        <v>2</v>
      </c>
      <c r="AE337">
        <v>2</v>
      </c>
      <c r="AF337">
        <v>7</v>
      </c>
      <c r="AG337">
        <v>1</v>
      </c>
      <c r="AH337">
        <v>1</v>
      </c>
      <c r="AI337">
        <v>7</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40</v>
      </c>
      <c r="B340" t="s">
        <v>43</v>
      </c>
      <c r="C340" t="s">
        <v>36</v>
      </c>
      <c r="D340">
        <v>750</v>
      </c>
      <c r="E340" t="s">
        <v>45</v>
      </c>
      <c r="F340">
        <v>12</v>
      </c>
      <c r="G340">
        <v>3</v>
      </c>
      <c r="H340" t="s">
        <v>38</v>
      </c>
      <c r="I340">
        <v>1</v>
      </c>
      <c r="J340">
        <v>1829</v>
      </c>
      <c r="K340">
        <v>2</v>
      </c>
      <c r="L340" t="s">
        <v>39</v>
      </c>
      <c r="M340">
        <v>47</v>
      </c>
      <c r="N340">
        <v>3</v>
      </c>
      <c r="O340">
        <v>2</v>
      </c>
      <c r="P340" t="s">
        <v>54</v>
      </c>
      <c r="Q340">
        <v>1</v>
      </c>
      <c r="R340" t="s">
        <v>52</v>
      </c>
      <c r="S340">
        <v>4448</v>
      </c>
      <c r="T340">
        <v>10748</v>
      </c>
      <c r="U340">
        <v>2</v>
      </c>
      <c r="V340" t="s">
        <v>42</v>
      </c>
      <c r="W340" t="s">
        <v>43</v>
      </c>
      <c r="X340">
        <v>12</v>
      </c>
      <c r="Y340">
        <v>3</v>
      </c>
      <c r="Z340">
        <v>2</v>
      </c>
      <c r="AA340">
        <v>80</v>
      </c>
      <c r="AB340">
        <v>1</v>
      </c>
      <c r="AC340">
        <v>15</v>
      </c>
      <c r="AD340">
        <v>3</v>
      </c>
      <c r="AE340">
        <v>3</v>
      </c>
      <c r="AF340">
        <v>7</v>
      </c>
      <c r="AG340">
        <v>4</v>
      </c>
      <c r="AH340">
        <v>7</v>
      </c>
      <c r="AI340">
        <v>7</v>
      </c>
    </row>
    <row r="341" spans="1:35" x14ac:dyDescent="0.35">
      <c r="A341">
        <v>47</v>
      </c>
      <c r="B341" t="s">
        <v>43</v>
      </c>
      <c r="C341" t="s">
        <v>36</v>
      </c>
      <c r="D341">
        <v>1001</v>
      </c>
      <c r="E341" t="s">
        <v>45</v>
      </c>
      <c r="F341">
        <v>4</v>
      </c>
      <c r="G341">
        <v>3</v>
      </c>
      <c r="H341" t="s">
        <v>38</v>
      </c>
      <c r="I341">
        <v>1</v>
      </c>
      <c r="J341">
        <v>1827</v>
      </c>
      <c r="K341">
        <v>3</v>
      </c>
      <c r="L341" t="s">
        <v>39</v>
      </c>
      <c r="M341">
        <v>92</v>
      </c>
      <c r="N341">
        <v>2</v>
      </c>
      <c r="O341">
        <v>3</v>
      </c>
      <c r="P341" t="s">
        <v>53</v>
      </c>
      <c r="Q341">
        <v>2</v>
      </c>
      <c r="R341" t="s">
        <v>52</v>
      </c>
      <c r="S341">
        <v>10333</v>
      </c>
      <c r="T341">
        <v>19271</v>
      </c>
      <c r="U341">
        <v>8</v>
      </c>
      <c r="V341" t="s">
        <v>42</v>
      </c>
      <c r="W341" t="s">
        <v>35</v>
      </c>
      <c r="X341">
        <v>12</v>
      </c>
      <c r="Y341">
        <v>3</v>
      </c>
      <c r="Z341">
        <v>3</v>
      </c>
      <c r="AA341">
        <v>80</v>
      </c>
      <c r="AB341">
        <v>1</v>
      </c>
      <c r="AC341">
        <v>28</v>
      </c>
      <c r="AD341">
        <v>4</v>
      </c>
      <c r="AE341">
        <v>3</v>
      </c>
      <c r="AF341">
        <v>22</v>
      </c>
      <c r="AG341">
        <v>11</v>
      </c>
      <c r="AH341">
        <v>14</v>
      </c>
      <c r="AI341">
        <v>10</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35</v>
      </c>
      <c r="B345" t="s">
        <v>43</v>
      </c>
      <c r="C345" t="s">
        <v>36</v>
      </c>
      <c r="D345">
        <v>185</v>
      </c>
      <c r="E345" t="s">
        <v>45</v>
      </c>
      <c r="F345">
        <v>23</v>
      </c>
      <c r="G345">
        <v>4</v>
      </c>
      <c r="H345" t="s">
        <v>51</v>
      </c>
      <c r="I345">
        <v>1</v>
      </c>
      <c r="J345">
        <v>1826</v>
      </c>
      <c r="K345">
        <v>2</v>
      </c>
      <c r="L345" t="s">
        <v>46</v>
      </c>
      <c r="M345">
        <v>91</v>
      </c>
      <c r="N345">
        <v>1</v>
      </c>
      <c r="O345">
        <v>1</v>
      </c>
      <c r="P345" t="s">
        <v>50</v>
      </c>
      <c r="Q345">
        <v>3</v>
      </c>
      <c r="R345" t="s">
        <v>48</v>
      </c>
      <c r="S345">
        <v>2705</v>
      </c>
      <c r="T345">
        <v>9696</v>
      </c>
      <c r="U345">
        <v>0</v>
      </c>
      <c r="V345" t="s">
        <v>42</v>
      </c>
      <c r="W345" t="s">
        <v>43</v>
      </c>
      <c r="X345">
        <v>16</v>
      </c>
      <c r="Y345">
        <v>3</v>
      </c>
      <c r="Z345">
        <v>2</v>
      </c>
      <c r="AA345">
        <v>80</v>
      </c>
      <c r="AB345">
        <v>1</v>
      </c>
      <c r="AC345">
        <v>6</v>
      </c>
      <c r="AD345">
        <v>2</v>
      </c>
      <c r="AE345">
        <v>4</v>
      </c>
      <c r="AF345">
        <v>5</v>
      </c>
      <c r="AG345">
        <v>4</v>
      </c>
      <c r="AH345">
        <v>0</v>
      </c>
      <c r="AI345">
        <v>3</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40</v>
      </c>
      <c r="B349" t="s">
        <v>43</v>
      </c>
      <c r="C349" t="s">
        <v>36</v>
      </c>
      <c r="D349">
        <v>1194</v>
      </c>
      <c r="E349" t="s">
        <v>45</v>
      </c>
      <c r="F349">
        <v>1</v>
      </c>
      <c r="G349">
        <v>3</v>
      </c>
      <c r="H349" t="s">
        <v>38</v>
      </c>
      <c r="I349">
        <v>1</v>
      </c>
      <c r="J349">
        <v>1822</v>
      </c>
      <c r="K349">
        <v>3</v>
      </c>
      <c r="L349" t="s">
        <v>39</v>
      </c>
      <c r="M349">
        <v>52</v>
      </c>
      <c r="N349">
        <v>3</v>
      </c>
      <c r="O349">
        <v>2</v>
      </c>
      <c r="P349" t="s">
        <v>54</v>
      </c>
      <c r="Q349">
        <v>4</v>
      </c>
      <c r="R349" t="s">
        <v>52</v>
      </c>
      <c r="S349">
        <v>6513</v>
      </c>
      <c r="T349">
        <v>9060</v>
      </c>
      <c r="U349">
        <v>4</v>
      </c>
      <c r="V349" t="s">
        <v>42</v>
      </c>
      <c r="W349" t="s">
        <v>43</v>
      </c>
      <c r="X349">
        <v>17</v>
      </c>
      <c r="Y349">
        <v>3</v>
      </c>
      <c r="Z349">
        <v>4</v>
      </c>
      <c r="AA349">
        <v>80</v>
      </c>
      <c r="AB349">
        <v>1</v>
      </c>
      <c r="AC349">
        <v>12</v>
      </c>
      <c r="AD349">
        <v>3</v>
      </c>
      <c r="AE349">
        <v>3</v>
      </c>
      <c r="AF349">
        <v>5</v>
      </c>
      <c r="AG349">
        <v>3</v>
      </c>
      <c r="AH349">
        <v>0</v>
      </c>
      <c r="AI349">
        <v>3</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46</v>
      </c>
      <c r="B351" t="s">
        <v>35</v>
      </c>
      <c r="C351" t="s">
        <v>36</v>
      </c>
      <c r="D351">
        <v>261</v>
      </c>
      <c r="E351" t="s">
        <v>45</v>
      </c>
      <c r="F351">
        <v>21</v>
      </c>
      <c r="G351">
        <v>2</v>
      </c>
      <c r="H351" t="s">
        <v>51</v>
      </c>
      <c r="I351">
        <v>1</v>
      </c>
      <c r="J351">
        <v>1821</v>
      </c>
      <c r="K351">
        <v>4</v>
      </c>
      <c r="L351" t="s">
        <v>39</v>
      </c>
      <c r="M351">
        <v>66</v>
      </c>
      <c r="N351">
        <v>3</v>
      </c>
      <c r="O351">
        <v>2</v>
      </c>
      <c r="P351" t="s">
        <v>54</v>
      </c>
      <c r="Q351">
        <v>2</v>
      </c>
      <c r="R351" t="s">
        <v>48</v>
      </c>
      <c r="S351">
        <v>8926</v>
      </c>
      <c r="T351">
        <v>10842</v>
      </c>
      <c r="U351">
        <v>4</v>
      </c>
      <c r="V351" t="s">
        <v>42</v>
      </c>
      <c r="W351" t="s">
        <v>43</v>
      </c>
      <c r="X351">
        <v>22</v>
      </c>
      <c r="Y351">
        <v>4</v>
      </c>
      <c r="Z351">
        <v>4</v>
      </c>
      <c r="AA351">
        <v>80</v>
      </c>
      <c r="AB351">
        <v>1</v>
      </c>
      <c r="AC351">
        <v>13</v>
      </c>
      <c r="AD351">
        <v>2</v>
      </c>
      <c r="AE351">
        <v>4</v>
      </c>
      <c r="AF351">
        <v>9</v>
      </c>
      <c r="AG351">
        <v>7</v>
      </c>
      <c r="AH351">
        <v>3</v>
      </c>
      <c r="AI351">
        <v>7</v>
      </c>
    </row>
    <row r="352" spans="1:35" x14ac:dyDescent="0.35">
      <c r="A352">
        <v>30</v>
      </c>
      <c r="B352" t="s">
        <v>43</v>
      </c>
      <c r="C352" t="s">
        <v>36</v>
      </c>
      <c r="D352">
        <v>1092</v>
      </c>
      <c r="E352" t="s">
        <v>45</v>
      </c>
      <c r="F352">
        <v>10</v>
      </c>
      <c r="G352">
        <v>3</v>
      </c>
      <c r="H352" t="s">
        <v>51</v>
      </c>
      <c r="I352">
        <v>1</v>
      </c>
      <c r="J352">
        <v>1816</v>
      </c>
      <c r="K352">
        <v>1</v>
      </c>
      <c r="L352" t="s">
        <v>39</v>
      </c>
      <c r="M352">
        <v>64</v>
      </c>
      <c r="N352">
        <v>3</v>
      </c>
      <c r="O352">
        <v>3</v>
      </c>
      <c r="P352" t="s">
        <v>53</v>
      </c>
      <c r="Q352">
        <v>3</v>
      </c>
      <c r="R352" t="s">
        <v>41</v>
      </c>
      <c r="S352">
        <v>9667</v>
      </c>
      <c r="T352">
        <v>2739</v>
      </c>
      <c r="U352">
        <v>9</v>
      </c>
      <c r="V352" t="s">
        <v>42</v>
      </c>
      <c r="W352" t="s">
        <v>43</v>
      </c>
      <c r="X352">
        <v>14</v>
      </c>
      <c r="Y352">
        <v>3</v>
      </c>
      <c r="Z352">
        <v>2</v>
      </c>
      <c r="AA352">
        <v>80</v>
      </c>
      <c r="AB352">
        <v>0</v>
      </c>
      <c r="AC352">
        <v>9</v>
      </c>
      <c r="AD352">
        <v>3</v>
      </c>
      <c r="AE352">
        <v>3</v>
      </c>
      <c r="AF352">
        <v>7</v>
      </c>
      <c r="AG352">
        <v>7</v>
      </c>
      <c r="AH352">
        <v>0</v>
      </c>
      <c r="AI352">
        <v>2</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41</v>
      </c>
      <c r="B354" t="s">
        <v>43</v>
      </c>
      <c r="C354" t="s">
        <v>36</v>
      </c>
      <c r="D354">
        <v>447</v>
      </c>
      <c r="E354" t="s">
        <v>45</v>
      </c>
      <c r="F354">
        <v>5</v>
      </c>
      <c r="G354">
        <v>3</v>
      </c>
      <c r="H354" t="s">
        <v>38</v>
      </c>
      <c r="I354">
        <v>1</v>
      </c>
      <c r="J354">
        <v>1814</v>
      </c>
      <c r="K354">
        <v>2</v>
      </c>
      <c r="L354" t="s">
        <v>46</v>
      </c>
      <c r="M354">
        <v>85</v>
      </c>
      <c r="N354">
        <v>4</v>
      </c>
      <c r="O354">
        <v>2</v>
      </c>
      <c r="P354" t="s">
        <v>54</v>
      </c>
      <c r="Q354">
        <v>2</v>
      </c>
      <c r="R354" t="s">
        <v>41</v>
      </c>
      <c r="S354">
        <v>6870</v>
      </c>
      <c r="T354">
        <v>15530</v>
      </c>
      <c r="U354">
        <v>3</v>
      </c>
      <c r="V354" t="s">
        <v>42</v>
      </c>
      <c r="W354" t="s">
        <v>43</v>
      </c>
      <c r="X354">
        <v>12</v>
      </c>
      <c r="Y354">
        <v>3</v>
      </c>
      <c r="Z354">
        <v>1</v>
      </c>
      <c r="AA354">
        <v>80</v>
      </c>
      <c r="AB354">
        <v>0</v>
      </c>
      <c r="AC354">
        <v>11</v>
      </c>
      <c r="AD354">
        <v>3</v>
      </c>
      <c r="AE354">
        <v>1</v>
      </c>
      <c r="AF354">
        <v>3</v>
      </c>
      <c r="AG354">
        <v>2</v>
      </c>
      <c r="AH354">
        <v>1</v>
      </c>
      <c r="AI354">
        <v>2</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43</v>
      </c>
      <c r="B356" t="s">
        <v>43</v>
      </c>
      <c r="C356" t="s">
        <v>55</v>
      </c>
      <c r="D356">
        <v>343</v>
      </c>
      <c r="E356" t="s">
        <v>45</v>
      </c>
      <c r="F356">
        <v>9</v>
      </c>
      <c r="G356">
        <v>3</v>
      </c>
      <c r="H356" t="s">
        <v>38</v>
      </c>
      <c r="I356">
        <v>1</v>
      </c>
      <c r="J356">
        <v>1813</v>
      </c>
      <c r="K356">
        <v>1</v>
      </c>
      <c r="L356" t="s">
        <v>46</v>
      </c>
      <c r="M356">
        <v>52</v>
      </c>
      <c r="N356">
        <v>3</v>
      </c>
      <c r="O356">
        <v>1</v>
      </c>
      <c r="P356" t="s">
        <v>47</v>
      </c>
      <c r="Q356">
        <v>3</v>
      </c>
      <c r="R356" t="s">
        <v>41</v>
      </c>
      <c r="S356">
        <v>2438</v>
      </c>
      <c r="T356">
        <v>24978</v>
      </c>
      <c r="U356">
        <v>4</v>
      </c>
      <c r="V356" t="s">
        <v>42</v>
      </c>
      <c r="W356" t="s">
        <v>43</v>
      </c>
      <c r="X356">
        <v>13</v>
      </c>
      <c r="Y356">
        <v>3</v>
      </c>
      <c r="Z356">
        <v>3</v>
      </c>
      <c r="AA356">
        <v>80</v>
      </c>
      <c r="AB356">
        <v>0</v>
      </c>
      <c r="AC356">
        <v>7</v>
      </c>
      <c r="AD356">
        <v>2</v>
      </c>
      <c r="AE356">
        <v>2</v>
      </c>
      <c r="AF356">
        <v>3</v>
      </c>
      <c r="AG356">
        <v>2</v>
      </c>
      <c r="AH356">
        <v>1</v>
      </c>
      <c r="AI356">
        <v>2</v>
      </c>
    </row>
    <row r="357" spans="1:35" x14ac:dyDescent="0.35">
      <c r="A357">
        <v>37</v>
      </c>
      <c r="B357" t="s">
        <v>35</v>
      </c>
      <c r="C357" t="s">
        <v>36</v>
      </c>
      <c r="D357">
        <v>370</v>
      </c>
      <c r="E357" t="s">
        <v>45</v>
      </c>
      <c r="F357">
        <v>10</v>
      </c>
      <c r="G357">
        <v>4</v>
      </c>
      <c r="H357" t="s">
        <v>51</v>
      </c>
      <c r="I357">
        <v>1</v>
      </c>
      <c r="J357">
        <v>1809</v>
      </c>
      <c r="K357">
        <v>4</v>
      </c>
      <c r="L357" t="s">
        <v>46</v>
      </c>
      <c r="M357">
        <v>58</v>
      </c>
      <c r="N357">
        <v>3</v>
      </c>
      <c r="O357">
        <v>2</v>
      </c>
      <c r="P357" t="s">
        <v>53</v>
      </c>
      <c r="Q357">
        <v>1</v>
      </c>
      <c r="R357" t="s">
        <v>41</v>
      </c>
      <c r="S357">
        <v>4213</v>
      </c>
      <c r="T357">
        <v>4992</v>
      </c>
      <c r="U357">
        <v>1</v>
      </c>
      <c r="V357" t="s">
        <v>42</v>
      </c>
      <c r="W357" t="s">
        <v>43</v>
      </c>
      <c r="X357">
        <v>15</v>
      </c>
      <c r="Y357">
        <v>3</v>
      </c>
      <c r="Z357">
        <v>2</v>
      </c>
      <c r="AA357">
        <v>80</v>
      </c>
      <c r="AB357">
        <v>0</v>
      </c>
      <c r="AC357">
        <v>10</v>
      </c>
      <c r="AD357">
        <v>4</v>
      </c>
      <c r="AE357">
        <v>1</v>
      </c>
      <c r="AF357">
        <v>10</v>
      </c>
      <c r="AG357">
        <v>3</v>
      </c>
      <c r="AH357">
        <v>0</v>
      </c>
      <c r="AI357">
        <v>8</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34</v>
      </c>
      <c r="B359" t="s">
        <v>35</v>
      </c>
      <c r="C359" t="s">
        <v>44</v>
      </c>
      <c r="D359">
        <v>234</v>
      </c>
      <c r="E359" t="s">
        <v>45</v>
      </c>
      <c r="F359">
        <v>9</v>
      </c>
      <c r="G359">
        <v>4</v>
      </c>
      <c r="H359" t="s">
        <v>38</v>
      </c>
      <c r="I359">
        <v>1</v>
      </c>
      <c r="J359">
        <v>1807</v>
      </c>
      <c r="K359">
        <v>4</v>
      </c>
      <c r="L359" t="s">
        <v>46</v>
      </c>
      <c r="M359">
        <v>93</v>
      </c>
      <c r="N359">
        <v>3</v>
      </c>
      <c r="O359">
        <v>2</v>
      </c>
      <c r="P359" t="s">
        <v>50</v>
      </c>
      <c r="Q359">
        <v>1</v>
      </c>
      <c r="R359" t="s">
        <v>48</v>
      </c>
      <c r="S359">
        <v>5346</v>
      </c>
      <c r="T359">
        <v>6208</v>
      </c>
      <c r="U359">
        <v>4</v>
      </c>
      <c r="V359" t="s">
        <v>42</v>
      </c>
      <c r="W359" t="s">
        <v>43</v>
      </c>
      <c r="X359">
        <v>17</v>
      </c>
      <c r="Y359">
        <v>3</v>
      </c>
      <c r="Z359">
        <v>3</v>
      </c>
      <c r="AA359">
        <v>80</v>
      </c>
      <c r="AB359">
        <v>1</v>
      </c>
      <c r="AC359">
        <v>11</v>
      </c>
      <c r="AD359">
        <v>3</v>
      </c>
      <c r="AE359">
        <v>2</v>
      </c>
      <c r="AF359">
        <v>7</v>
      </c>
      <c r="AG359">
        <v>1</v>
      </c>
      <c r="AH359">
        <v>0</v>
      </c>
      <c r="AI359">
        <v>7</v>
      </c>
    </row>
    <row r="360" spans="1:35" x14ac:dyDescent="0.35">
      <c r="A360">
        <v>35</v>
      </c>
      <c r="B360" t="s">
        <v>43</v>
      </c>
      <c r="C360" t="s">
        <v>55</v>
      </c>
      <c r="D360">
        <v>1180</v>
      </c>
      <c r="E360" t="s">
        <v>45</v>
      </c>
      <c r="F360">
        <v>2</v>
      </c>
      <c r="G360">
        <v>2</v>
      </c>
      <c r="H360" t="s">
        <v>51</v>
      </c>
      <c r="I360">
        <v>1</v>
      </c>
      <c r="J360">
        <v>1804</v>
      </c>
      <c r="K360">
        <v>2</v>
      </c>
      <c r="L360" t="s">
        <v>46</v>
      </c>
      <c r="M360">
        <v>90</v>
      </c>
      <c r="N360">
        <v>3</v>
      </c>
      <c r="O360">
        <v>2</v>
      </c>
      <c r="P360" t="s">
        <v>53</v>
      </c>
      <c r="Q360">
        <v>4</v>
      </c>
      <c r="R360" t="s">
        <v>52</v>
      </c>
      <c r="S360">
        <v>5762</v>
      </c>
      <c r="T360">
        <v>24442</v>
      </c>
      <c r="U360">
        <v>2</v>
      </c>
      <c r="V360" t="s">
        <v>42</v>
      </c>
      <c r="W360" t="s">
        <v>43</v>
      </c>
      <c r="X360">
        <v>14</v>
      </c>
      <c r="Y360">
        <v>3</v>
      </c>
      <c r="Z360">
        <v>3</v>
      </c>
      <c r="AA360">
        <v>80</v>
      </c>
      <c r="AB360">
        <v>1</v>
      </c>
      <c r="AC360">
        <v>15</v>
      </c>
      <c r="AD360">
        <v>6</v>
      </c>
      <c r="AE360">
        <v>3</v>
      </c>
      <c r="AF360">
        <v>7</v>
      </c>
      <c r="AG360">
        <v>7</v>
      </c>
      <c r="AH360">
        <v>1</v>
      </c>
      <c r="AI360">
        <v>7</v>
      </c>
    </row>
    <row r="361" spans="1:35" x14ac:dyDescent="0.35">
      <c r="A361">
        <v>42</v>
      </c>
      <c r="B361" t="s">
        <v>43</v>
      </c>
      <c r="C361" t="s">
        <v>36</v>
      </c>
      <c r="D361">
        <v>1128</v>
      </c>
      <c r="E361" t="s">
        <v>45</v>
      </c>
      <c r="F361">
        <v>13</v>
      </c>
      <c r="G361">
        <v>3</v>
      </c>
      <c r="H361" t="s">
        <v>51</v>
      </c>
      <c r="I361">
        <v>1</v>
      </c>
      <c r="J361">
        <v>1803</v>
      </c>
      <c r="K361">
        <v>2</v>
      </c>
      <c r="L361" t="s">
        <v>46</v>
      </c>
      <c r="M361">
        <v>95</v>
      </c>
      <c r="N361">
        <v>4</v>
      </c>
      <c r="O361">
        <v>2</v>
      </c>
      <c r="P361" t="s">
        <v>54</v>
      </c>
      <c r="Q361">
        <v>1</v>
      </c>
      <c r="R361" t="s">
        <v>48</v>
      </c>
      <c r="S361">
        <v>5538</v>
      </c>
      <c r="T361">
        <v>5696</v>
      </c>
      <c r="U361">
        <v>5</v>
      </c>
      <c r="V361" t="s">
        <v>42</v>
      </c>
      <c r="W361" t="s">
        <v>43</v>
      </c>
      <c r="X361">
        <v>18</v>
      </c>
      <c r="Y361">
        <v>3</v>
      </c>
      <c r="Z361">
        <v>3</v>
      </c>
      <c r="AA361">
        <v>80</v>
      </c>
      <c r="AB361">
        <v>2</v>
      </c>
      <c r="AC361">
        <v>10</v>
      </c>
      <c r="AD361">
        <v>2</v>
      </c>
      <c r="AE361">
        <v>2</v>
      </c>
      <c r="AF361">
        <v>0</v>
      </c>
      <c r="AG361">
        <v>0</v>
      </c>
      <c r="AH361">
        <v>0</v>
      </c>
      <c r="AI361">
        <v>0</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40</v>
      </c>
      <c r="B364" t="s">
        <v>43</v>
      </c>
      <c r="C364" t="s">
        <v>36</v>
      </c>
      <c r="D364">
        <v>616</v>
      </c>
      <c r="E364" t="s">
        <v>45</v>
      </c>
      <c r="F364">
        <v>2</v>
      </c>
      <c r="G364">
        <v>2</v>
      </c>
      <c r="H364" t="s">
        <v>38</v>
      </c>
      <c r="I364">
        <v>1</v>
      </c>
      <c r="J364">
        <v>1802</v>
      </c>
      <c r="K364">
        <v>3</v>
      </c>
      <c r="L364" t="s">
        <v>39</v>
      </c>
      <c r="M364">
        <v>99</v>
      </c>
      <c r="N364">
        <v>3</v>
      </c>
      <c r="O364">
        <v>1</v>
      </c>
      <c r="P364" t="s">
        <v>50</v>
      </c>
      <c r="Q364">
        <v>1</v>
      </c>
      <c r="R364" t="s">
        <v>48</v>
      </c>
      <c r="S364">
        <v>3377</v>
      </c>
      <c r="T364">
        <v>25605</v>
      </c>
      <c r="U364">
        <v>4</v>
      </c>
      <c r="V364" t="s">
        <v>42</v>
      </c>
      <c r="W364" t="s">
        <v>43</v>
      </c>
      <c r="X364">
        <v>17</v>
      </c>
      <c r="Y364">
        <v>3</v>
      </c>
      <c r="Z364">
        <v>4</v>
      </c>
      <c r="AA364">
        <v>80</v>
      </c>
      <c r="AB364">
        <v>1</v>
      </c>
      <c r="AC364">
        <v>7</v>
      </c>
      <c r="AD364">
        <v>5</v>
      </c>
      <c r="AE364">
        <v>2</v>
      </c>
      <c r="AF364">
        <v>4</v>
      </c>
      <c r="AG364">
        <v>3</v>
      </c>
      <c r="AH364">
        <v>0</v>
      </c>
      <c r="AI364">
        <v>2</v>
      </c>
    </row>
    <row r="365" spans="1:35" x14ac:dyDescent="0.35">
      <c r="A365">
        <v>39</v>
      </c>
      <c r="B365" t="s">
        <v>43</v>
      </c>
      <c r="C365" t="s">
        <v>36</v>
      </c>
      <c r="D365">
        <v>1253</v>
      </c>
      <c r="E365" t="s">
        <v>45</v>
      </c>
      <c r="F365">
        <v>10</v>
      </c>
      <c r="G365">
        <v>1</v>
      </c>
      <c r="H365" t="s">
        <v>51</v>
      </c>
      <c r="I365">
        <v>1</v>
      </c>
      <c r="J365">
        <v>1800</v>
      </c>
      <c r="K365">
        <v>3</v>
      </c>
      <c r="L365" t="s">
        <v>46</v>
      </c>
      <c r="M365">
        <v>65</v>
      </c>
      <c r="N365">
        <v>3</v>
      </c>
      <c r="O365">
        <v>3</v>
      </c>
      <c r="P365" t="s">
        <v>58</v>
      </c>
      <c r="Q365">
        <v>3</v>
      </c>
      <c r="R365" t="s">
        <v>41</v>
      </c>
      <c r="S365">
        <v>13464</v>
      </c>
      <c r="T365">
        <v>7914</v>
      </c>
      <c r="U365">
        <v>7</v>
      </c>
      <c r="V365" t="s">
        <v>42</v>
      </c>
      <c r="W365" t="s">
        <v>43</v>
      </c>
      <c r="X365">
        <v>21</v>
      </c>
      <c r="Y365">
        <v>4</v>
      </c>
      <c r="Z365">
        <v>3</v>
      </c>
      <c r="AA365">
        <v>80</v>
      </c>
      <c r="AB365">
        <v>0</v>
      </c>
      <c r="AC365">
        <v>9</v>
      </c>
      <c r="AD365">
        <v>3</v>
      </c>
      <c r="AE365">
        <v>3</v>
      </c>
      <c r="AF365">
        <v>4</v>
      </c>
      <c r="AG365">
        <v>3</v>
      </c>
      <c r="AH365">
        <v>2</v>
      </c>
      <c r="AI365">
        <v>2</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28</v>
      </c>
      <c r="B368" t="s">
        <v>43</v>
      </c>
      <c r="C368" t="s">
        <v>36</v>
      </c>
      <c r="D368">
        <v>1181</v>
      </c>
      <c r="E368" t="s">
        <v>45</v>
      </c>
      <c r="F368">
        <v>1</v>
      </c>
      <c r="G368">
        <v>3</v>
      </c>
      <c r="H368" t="s">
        <v>38</v>
      </c>
      <c r="I368">
        <v>1</v>
      </c>
      <c r="J368">
        <v>1799</v>
      </c>
      <c r="K368">
        <v>3</v>
      </c>
      <c r="L368" t="s">
        <v>46</v>
      </c>
      <c r="M368">
        <v>82</v>
      </c>
      <c r="N368">
        <v>3</v>
      </c>
      <c r="O368">
        <v>1</v>
      </c>
      <c r="P368" t="s">
        <v>47</v>
      </c>
      <c r="Q368">
        <v>4</v>
      </c>
      <c r="R368" t="s">
        <v>48</v>
      </c>
      <c r="S368">
        <v>2044</v>
      </c>
      <c r="T368">
        <v>5531</v>
      </c>
      <c r="U368">
        <v>1</v>
      </c>
      <c r="V368" t="s">
        <v>42</v>
      </c>
      <c r="W368" t="s">
        <v>43</v>
      </c>
      <c r="X368">
        <v>11</v>
      </c>
      <c r="Y368">
        <v>3</v>
      </c>
      <c r="Z368">
        <v>3</v>
      </c>
      <c r="AA368">
        <v>80</v>
      </c>
      <c r="AB368">
        <v>1</v>
      </c>
      <c r="AC368">
        <v>5</v>
      </c>
      <c r="AD368">
        <v>6</v>
      </c>
      <c r="AE368">
        <v>4</v>
      </c>
      <c r="AF368">
        <v>5</v>
      </c>
      <c r="AG368">
        <v>3</v>
      </c>
      <c r="AH368">
        <v>0</v>
      </c>
      <c r="AI368">
        <v>3</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33</v>
      </c>
      <c r="B370" t="s">
        <v>43</v>
      </c>
      <c r="C370" t="s">
        <v>36</v>
      </c>
      <c r="D370">
        <v>867</v>
      </c>
      <c r="E370" t="s">
        <v>45</v>
      </c>
      <c r="F370">
        <v>8</v>
      </c>
      <c r="G370">
        <v>4</v>
      </c>
      <c r="H370" t="s">
        <v>38</v>
      </c>
      <c r="I370">
        <v>1</v>
      </c>
      <c r="J370">
        <v>1798</v>
      </c>
      <c r="K370">
        <v>4</v>
      </c>
      <c r="L370" t="s">
        <v>46</v>
      </c>
      <c r="M370">
        <v>90</v>
      </c>
      <c r="N370">
        <v>4</v>
      </c>
      <c r="O370">
        <v>1</v>
      </c>
      <c r="P370" t="s">
        <v>47</v>
      </c>
      <c r="Q370">
        <v>1</v>
      </c>
      <c r="R370" t="s">
        <v>48</v>
      </c>
      <c r="S370">
        <v>3143</v>
      </c>
      <c r="T370">
        <v>6076</v>
      </c>
      <c r="U370">
        <v>6</v>
      </c>
      <c r="V370" t="s">
        <v>42</v>
      </c>
      <c r="W370" t="s">
        <v>43</v>
      </c>
      <c r="X370">
        <v>19</v>
      </c>
      <c r="Y370">
        <v>3</v>
      </c>
      <c r="Z370">
        <v>2</v>
      </c>
      <c r="AA370">
        <v>80</v>
      </c>
      <c r="AB370">
        <v>1</v>
      </c>
      <c r="AC370">
        <v>14</v>
      </c>
      <c r="AD370">
        <v>1</v>
      </c>
      <c r="AE370">
        <v>3</v>
      </c>
      <c r="AF370">
        <v>10</v>
      </c>
      <c r="AG370">
        <v>8</v>
      </c>
      <c r="AH370">
        <v>7</v>
      </c>
      <c r="AI370">
        <v>6</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44</v>
      </c>
      <c r="B372" t="s">
        <v>35</v>
      </c>
      <c r="C372" t="s">
        <v>44</v>
      </c>
      <c r="D372">
        <v>429</v>
      </c>
      <c r="E372" t="s">
        <v>45</v>
      </c>
      <c r="F372">
        <v>1</v>
      </c>
      <c r="G372">
        <v>2</v>
      </c>
      <c r="H372" t="s">
        <v>51</v>
      </c>
      <c r="I372">
        <v>1</v>
      </c>
      <c r="J372">
        <v>1792</v>
      </c>
      <c r="K372">
        <v>3</v>
      </c>
      <c r="L372" t="s">
        <v>46</v>
      </c>
      <c r="M372">
        <v>99</v>
      </c>
      <c r="N372">
        <v>3</v>
      </c>
      <c r="O372">
        <v>1</v>
      </c>
      <c r="P372" t="s">
        <v>47</v>
      </c>
      <c r="Q372">
        <v>2</v>
      </c>
      <c r="R372" t="s">
        <v>52</v>
      </c>
      <c r="S372">
        <v>2342</v>
      </c>
      <c r="T372">
        <v>11092</v>
      </c>
      <c r="U372">
        <v>1</v>
      </c>
      <c r="V372" t="s">
        <v>42</v>
      </c>
      <c r="W372" t="s">
        <v>35</v>
      </c>
      <c r="X372">
        <v>12</v>
      </c>
      <c r="Y372">
        <v>3</v>
      </c>
      <c r="Z372">
        <v>3</v>
      </c>
      <c r="AA372">
        <v>80</v>
      </c>
      <c r="AB372">
        <v>3</v>
      </c>
      <c r="AC372">
        <v>6</v>
      </c>
      <c r="AD372">
        <v>2</v>
      </c>
      <c r="AE372">
        <v>2</v>
      </c>
      <c r="AF372">
        <v>5</v>
      </c>
      <c r="AG372">
        <v>3</v>
      </c>
      <c r="AH372">
        <v>2</v>
      </c>
      <c r="AI372">
        <v>3</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36</v>
      </c>
      <c r="B376" t="s">
        <v>43</v>
      </c>
      <c r="C376" t="s">
        <v>36</v>
      </c>
      <c r="D376">
        <v>1383</v>
      </c>
      <c r="E376" t="s">
        <v>45</v>
      </c>
      <c r="F376">
        <v>10</v>
      </c>
      <c r="G376">
        <v>3</v>
      </c>
      <c r="H376" t="s">
        <v>38</v>
      </c>
      <c r="I376">
        <v>1</v>
      </c>
      <c r="J376">
        <v>1790</v>
      </c>
      <c r="K376">
        <v>4</v>
      </c>
      <c r="L376" t="s">
        <v>46</v>
      </c>
      <c r="M376">
        <v>90</v>
      </c>
      <c r="N376">
        <v>3</v>
      </c>
      <c r="O376">
        <v>3</v>
      </c>
      <c r="P376" t="s">
        <v>54</v>
      </c>
      <c r="Q376">
        <v>1</v>
      </c>
      <c r="R376" t="s">
        <v>48</v>
      </c>
      <c r="S376">
        <v>8321</v>
      </c>
      <c r="T376">
        <v>25949</v>
      </c>
      <c r="U376">
        <v>7</v>
      </c>
      <c r="V376" t="s">
        <v>42</v>
      </c>
      <c r="W376" t="s">
        <v>35</v>
      </c>
      <c r="X376">
        <v>13</v>
      </c>
      <c r="Y376">
        <v>3</v>
      </c>
      <c r="Z376">
        <v>4</v>
      </c>
      <c r="AA376">
        <v>80</v>
      </c>
      <c r="AB376">
        <v>1</v>
      </c>
      <c r="AC376">
        <v>15</v>
      </c>
      <c r="AD376">
        <v>1</v>
      </c>
      <c r="AE376">
        <v>3</v>
      </c>
      <c r="AF376">
        <v>12</v>
      </c>
      <c r="AG376">
        <v>8</v>
      </c>
      <c r="AH376">
        <v>5</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46</v>
      </c>
      <c r="B378" t="s">
        <v>43</v>
      </c>
      <c r="C378" t="s">
        <v>36</v>
      </c>
      <c r="D378">
        <v>734</v>
      </c>
      <c r="E378" t="s">
        <v>45</v>
      </c>
      <c r="F378">
        <v>2</v>
      </c>
      <c r="G378">
        <v>4</v>
      </c>
      <c r="H378" t="s">
        <v>51</v>
      </c>
      <c r="I378">
        <v>1</v>
      </c>
      <c r="J378">
        <v>1789</v>
      </c>
      <c r="K378">
        <v>3</v>
      </c>
      <c r="L378" t="s">
        <v>46</v>
      </c>
      <c r="M378">
        <v>46</v>
      </c>
      <c r="N378">
        <v>3</v>
      </c>
      <c r="O378">
        <v>5</v>
      </c>
      <c r="P378" t="s">
        <v>58</v>
      </c>
      <c r="Q378">
        <v>4</v>
      </c>
      <c r="R378" t="s">
        <v>52</v>
      </c>
      <c r="S378">
        <v>19328</v>
      </c>
      <c r="T378">
        <v>14218</v>
      </c>
      <c r="U378">
        <v>7</v>
      </c>
      <c r="V378" t="s">
        <v>42</v>
      </c>
      <c r="W378" t="s">
        <v>35</v>
      </c>
      <c r="X378">
        <v>17</v>
      </c>
      <c r="Y378">
        <v>3</v>
      </c>
      <c r="Z378">
        <v>3</v>
      </c>
      <c r="AA378">
        <v>80</v>
      </c>
      <c r="AB378">
        <v>1</v>
      </c>
      <c r="AC378">
        <v>24</v>
      </c>
      <c r="AD378">
        <v>3</v>
      </c>
      <c r="AE378">
        <v>3</v>
      </c>
      <c r="AF378">
        <v>2</v>
      </c>
      <c r="AG378">
        <v>1</v>
      </c>
      <c r="AH378">
        <v>2</v>
      </c>
      <c r="AI378">
        <v>2</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51</v>
      </c>
      <c r="B380" t="s">
        <v>43</v>
      </c>
      <c r="C380" t="s">
        <v>36</v>
      </c>
      <c r="D380">
        <v>942</v>
      </c>
      <c r="E380" t="s">
        <v>45</v>
      </c>
      <c r="F380">
        <v>3</v>
      </c>
      <c r="G380">
        <v>3</v>
      </c>
      <c r="H380" t="s">
        <v>60</v>
      </c>
      <c r="I380">
        <v>1</v>
      </c>
      <c r="J380">
        <v>1786</v>
      </c>
      <c r="K380">
        <v>1</v>
      </c>
      <c r="L380" t="s">
        <v>39</v>
      </c>
      <c r="M380">
        <v>53</v>
      </c>
      <c r="N380">
        <v>3</v>
      </c>
      <c r="O380">
        <v>3</v>
      </c>
      <c r="P380" t="s">
        <v>56</v>
      </c>
      <c r="Q380">
        <v>3</v>
      </c>
      <c r="R380" t="s">
        <v>48</v>
      </c>
      <c r="S380">
        <v>13116</v>
      </c>
      <c r="T380">
        <v>22984</v>
      </c>
      <c r="U380">
        <v>2</v>
      </c>
      <c r="V380" t="s">
        <v>42</v>
      </c>
      <c r="W380" t="s">
        <v>43</v>
      </c>
      <c r="X380">
        <v>11</v>
      </c>
      <c r="Y380">
        <v>3</v>
      </c>
      <c r="Z380">
        <v>4</v>
      </c>
      <c r="AA380">
        <v>80</v>
      </c>
      <c r="AB380">
        <v>0</v>
      </c>
      <c r="AC380">
        <v>15</v>
      </c>
      <c r="AD380">
        <v>2</v>
      </c>
      <c r="AE380">
        <v>3</v>
      </c>
      <c r="AF380">
        <v>2</v>
      </c>
      <c r="AG380">
        <v>2</v>
      </c>
      <c r="AH380">
        <v>2</v>
      </c>
      <c r="AI380">
        <v>2</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22</v>
      </c>
      <c r="B382" t="s">
        <v>35</v>
      </c>
      <c r="C382" t="s">
        <v>36</v>
      </c>
      <c r="D382">
        <v>1294</v>
      </c>
      <c r="E382" t="s">
        <v>45</v>
      </c>
      <c r="F382">
        <v>8</v>
      </c>
      <c r="G382">
        <v>1</v>
      </c>
      <c r="H382" t="s">
        <v>51</v>
      </c>
      <c r="I382">
        <v>1</v>
      </c>
      <c r="J382">
        <v>1783</v>
      </c>
      <c r="K382">
        <v>3</v>
      </c>
      <c r="L382" t="s">
        <v>39</v>
      </c>
      <c r="M382">
        <v>79</v>
      </c>
      <c r="N382">
        <v>3</v>
      </c>
      <c r="O382">
        <v>1</v>
      </c>
      <c r="P382" t="s">
        <v>50</v>
      </c>
      <c r="Q382">
        <v>1</v>
      </c>
      <c r="R382" t="s">
        <v>48</v>
      </c>
      <c r="S382">
        <v>2398</v>
      </c>
      <c r="T382">
        <v>15999</v>
      </c>
      <c r="U382">
        <v>1</v>
      </c>
      <c r="V382" t="s">
        <v>42</v>
      </c>
      <c r="W382" t="s">
        <v>35</v>
      </c>
      <c r="X382">
        <v>17</v>
      </c>
      <c r="Y382">
        <v>3</v>
      </c>
      <c r="Z382">
        <v>3</v>
      </c>
      <c r="AA382">
        <v>80</v>
      </c>
      <c r="AB382">
        <v>0</v>
      </c>
      <c r="AC382">
        <v>1</v>
      </c>
      <c r="AD382">
        <v>6</v>
      </c>
      <c r="AE382">
        <v>3</v>
      </c>
      <c r="AF382">
        <v>1</v>
      </c>
      <c r="AG382">
        <v>0</v>
      </c>
      <c r="AH382">
        <v>0</v>
      </c>
      <c r="AI382">
        <v>0</v>
      </c>
    </row>
    <row r="383" spans="1:35" x14ac:dyDescent="0.35">
      <c r="A383">
        <v>38</v>
      </c>
      <c r="B383" t="s">
        <v>43</v>
      </c>
      <c r="C383" t="s">
        <v>36</v>
      </c>
      <c r="D383">
        <v>1153</v>
      </c>
      <c r="E383" t="s">
        <v>45</v>
      </c>
      <c r="F383">
        <v>6</v>
      </c>
      <c r="G383">
        <v>2</v>
      </c>
      <c r="H383" t="s">
        <v>49</v>
      </c>
      <c r="I383">
        <v>1</v>
      </c>
      <c r="J383">
        <v>1782</v>
      </c>
      <c r="K383">
        <v>4</v>
      </c>
      <c r="L383" t="s">
        <v>39</v>
      </c>
      <c r="M383">
        <v>40</v>
      </c>
      <c r="N383">
        <v>2</v>
      </c>
      <c r="O383">
        <v>1</v>
      </c>
      <c r="P383" t="s">
        <v>50</v>
      </c>
      <c r="Q383">
        <v>3</v>
      </c>
      <c r="R383" t="s">
        <v>48</v>
      </c>
      <c r="S383">
        <v>3702</v>
      </c>
      <c r="T383">
        <v>16376</v>
      </c>
      <c r="U383">
        <v>1</v>
      </c>
      <c r="V383" t="s">
        <v>42</v>
      </c>
      <c r="W383" t="s">
        <v>43</v>
      </c>
      <c r="X383">
        <v>11</v>
      </c>
      <c r="Y383">
        <v>3</v>
      </c>
      <c r="Z383">
        <v>2</v>
      </c>
      <c r="AA383">
        <v>80</v>
      </c>
      <c r="AB383">
        <v>1</v>
      </c>
      <c r="AC383">
        <v>5</v>
      </c>
      <c r="AD383">
        <v>3</v>
      </c>
      <c r="AE383">
        <v>3</v>
      </c>
      <c r="AF383">
        <v>5</v>
      </c>
      <c r="AG383">
        <v>4</v>
      </c>
      <c r="AH383">
        <v>0</v>
      </c>
      <c r="AI383">
        <v>4</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53</v>
      </c>
      <c r="B386" t="s">
        <v>43</v>
      </c>
      <c r="C386" t="s">
        <v>55</v>
      </c>
      <c r="D386">
        <v>661</v>
      </c>
      <c r="E386" t="s">
        <v>45</v>
      </c>
      <c r="F386">
        <v>1</v>
      </c>
      <c r="G386">
        <v>4</v>
      </c>
      <c r="H386" t="s">
        <v>51</v>
      </c>
      <c r="I386">
        <v>1</v>
      </c>
      <c r="J386">
        <v>1775</v>
      </c>
      <c r="K386">
        <v>1</v>
      </c>
      <c r="L386" t="s">
        <v>39</v>
      </c>
      <c r="M386">
        <v>60</v>
      </c>
      <c r="N386">
        <v>2</v>
      </c>
      <c r="O386">
        <v>4</v>
      </c>
      <c r="P386" t="s">
        <v>53</v>
      </c>
      <c r="Q386">
        <v>3</v>
      </c>
      <c r="R386" t="s">
        <v>48</v>
      </c>
      <c r="S386">
        <v>12965</v>
      </c>
      <c r="T386">
        <v>22308</v>
      </c>
      <c r="U386">
        <v>4</v>
      </c>
      <c r="V386" t="s">
        <v>42</v>
      </c>
      <c r="W386" t="s">
        <v>35</v>
      </c>
      <c r="X386">
        <v>20</v>
      </c>
      <c r="Y386">
        <v>4</v>
      </c>
      <c r="Z386">
        <v>4</v>
      </c>
      <c r="AA386">
        <v>80</v>
      </c>
      <c r="AB386">
        <v>3</v>
      </c>
      <c r="AC386">
        <v>27</v>
      </c>
      <c r="AD386">
        <v>2</v>
      </c>
      <c r="AE386">
        <v>2</v>
      </c>
      <c r="AF386">
        <v>3</v>
      </c>
      <c r="AG386">
        <v>2</v>
      </c>
      <c r="AH386">
        <v>0</v>
      </c>
      <c r="AI386">
        <v>2</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41</v>
      </c>
      <c r="B389" t="s">
        <v>43</v>
      </c>
      <c r="C389" t="s">
        <v>36</v>
      </c>
      <c r="D389">
        <v>548</v>
      </c>
      <c r="E389" t="s">
        <v>45</v>
      </c>
      <c r="F389">
        <v>9</v>
      </c>
      <c r="G389">
        <v>4</v>
      </c>
      <c r="H389" t="s">
        <v>38</v>
      </c>
      <c r="I389">
        <v>1</v>
      </c>
      <c r="J389">
        <v>1772</v>
      </c>
      <c r="K389">
        <v>3</v>
      </c>
      <c r="L389" t="s">
        <v>46</v>
      </c>
      <c r="M389">
        <v>94</v>
      </c>
      <c r="N389">
        <v>3</v>
      </c>
      <c r="O389">
        <v>1</v>
      </c>
      <c r="P389" t="s">
        <v>50</v>
      </c>
      <c r="Q389">
        <v>1</v>
      </c>
      <c r="R389" t="s">
        <v>52</v>
      </c>
      <c r="S389">
        <v>2289</v>
      </c>
      <c r="T389">
        <v>20520</v>
      </c>
      <c r="U389">
        <v>1</v>
      </c>
      <c r="V389" t="s">
        <v>42</v>
      </c>
      <c r="W389" t="s">
        <v>43</v>
      </c>
      <c r="X389">
        <v>20</v>
      </c>
      <c r="Y389">
        <v>4</v>
      </c>
      <c r="Z389">
        <v>2</v>
      </c>
      <c r="AA389">
        <v>80</v>
      </c>
      <c r="AB389">
        <v>2</v>
      </c>
      <c r="AC389">
        <v>5</v>
      </c>
      <c r="AD389">
        <v>2</v>
      </c>
      <c r="AE389">
        <v>3</v>
      </c>
      <c r="AF389">
        <v>5</v>
      </c>
      <c r="AG389">
        <v>3</v>
      </c>
      <c r="AH389">
        <v>0</v>
      </c>
      <c r="AI389">
        <v>4</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33</v>
      </c>
      <c r="B395" t="s">
        <v>43</v>
      </c>
      <c r="C395" t="s">
        <v>55</v>
      </c>
      <c r="D395">
        <v>775</v>
      </c>
      <c r="E395" t="s">
        <v>45</v>
      </c>
      <c r="F395">
        <v>4</v>
      </c>
      <c r="G395">
        <v>3</v>
      </c>
      <c r="H395" t="s">
        <v>60</v>
      </c>
      <c r="I395">
        <v>1</v>
      </c>
      <c r="J395">
        <v>1771</v>
      </c>
      <c r="K395">
        <v>4</v>
      </c>
      <c r="L395" t="s">
        <v>46</v>
      </c>
      <c r="M395">
        <v>90</v>
      </c>
      <c r="N395">
        <v>3</v>
      </c>
      <c r="O395">
        <v>2</v>
      </c>
      <c r="P395" t="s">
        <v>47</v>
      </c>
      <c r="Q395">
        <v>2</v>
      </c>
      <c r="R395" t="s">
        <v>52</v>
      </c>
      <c r="S395">
        <v>3055</v>
      </c>
      <c r="T395">
        <v>6194</v>
      </c>
      <c r="U395">
        <v>5</v>
      </c>
      <c r="V395" t="s">
        <v>42</v>
      </c>
      <c r="W395" t="s">
        <v>43</v>
      </c>
      <c r="X395">
        <v>15</v>
      </c>
      <c r="Y395">
        <v>3</v>
      </c>
      <c r="Z395">
        <v>4</v>
      </c>
      <c r="AA395">
        <v>80</v>
      </c>
      <c r="AB395">
        <v>2</v>
      </c>
      <c r="AC395">
        <v>11</v>
      </c>
      <c r="AD395">
        <v>2</v>
      </c>
      <c r="AE395">
        <v>2</v>
      </c>
      <c r="AF395">
        <v>9</v>
      </c>
      <c r="AG395">
        <v>8</v>
      </c>
      <c r="AH395">
        <v>1</v>
      </c>
      <c r="AI395">
        <v>7</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55</v>
      </c>
      <c r="B399" t="s">
        <v>43</v>
      </c>
      <c r="C399" t="s">
        <v>36</v>
      </c>
      <c r="D399">
        <v>478</v>
      </c>
      <c r="E399" t="s">
        <v>45</v>
      </c>
      <c r="F399">
        <v>2</v>
      </c>
      <c r="G399">
        <v>3</v>
      </c>
      <c r="H399" t="s">
        <v>51</v>
      </c>
      <c r="I399">
        <v>1</v>
      </c>
      <c r="J399">
        <v>1770</v>
      </c>
      <c r="K399">
        <v>3</v>
      </c>
      <c r="L399" t="s">
        <v>46</v>
      </c>
      <c r="M399">
        <v>60</v>
      </c>
      <c r="N399">
        <v>2</v>
      </c>
      <c r="O399">
        <v>5</v>
      </c>
      <c r="P399" t="s">
        <v>58</v>
      </c>
      <c r="Q399">
        <v>1</v>
      </c>
      <c r="R399" t="s">
        <v>48</v>
      </c>
      <c r="S399">
        <v>19038</v>
      </c>
      <c r="T399">
        <v>19805</v>
      </c>
      <c r="U399">
        <v>8</v>
      </c>
      <c r="V399" t="s">
        <v>42</v>
      </c>
      <c r="W399" t="s">
        <v>43</v>
      </c>
      <c r="X399">
        <v>12</v>
      </c>
      <c r="Y399">
        <v>3</v>
      </c>
      <c r="Z399">
        <v>2</v>
      </c>
      <c r="AA399">
        <v>80</v>
      </c>
      <c r="AB399">
        <v>3</v>
      </c>
      <c r="AC399">
        <v>34</v>
      </c>
      <c r="AD399">
        <v>2</v>
      </c>
      <c r="AE399">
        <v>3</v>
      </c>
      <c r="AF399">
        <v>1</v>
      </c>
      <c r="AG399">
        <v>0</v>
      </c>
      <c r="AH399">
        <v>0</v>
      </c>
      <c r="AI399">
        <v>0</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42</v>
      </c>
      <c r="B403" t="s">
        <v>43</v>
      </c>
      <c r="C403" t="s">
        <v>36</v>
      </c>
      <c r="D403">
        <v>855</v>
      </c>
      <c r="E403" t="s">
        <v>45</v>
      </c>
      <c r="F403">
        <v>12</v>
      </c>
      <c r="G403">
        <v>3</v>
      </c>
      <c r="H403" t="s">
        <v>51</v>
      </c>
      <c r="I403">
        <v>1</v>
      </c>
      <c r="J403">
        <v>1768</v>
      </c>
      <c r="K403">
        <v>2</v>
      </c>
      <c r="L403" t="s">
        <v>46</v>
      </c>
      <c r="M403">
        <v>57</v>
      </c>
      <c r="N403">
        <v>3</v>
      </c>
      <c r="O403">
        <v>1</v>
      </c>
      <c r="P403" t="s">
        <v>50</v>
      </c>
      <c r="Q403">
        <v>2</v>
      </c>
      <c r="R403" t="s">
        <v>52</v>
      </c>
      <c r="S403">
        <v>2766</v>
      </c>
      <c r="T403">
        <v>8952</v>
      </c>
      <c r="U403">
        <v>8</v>
      </c>
      <c r="V403" t="s">
        <v>42</v>
      </c>
      <c r="W403" t="s">
        <v>43</v>
      </c>
      <c r="X403">
        <v>22</v>
      </c>
      <c r="Y403">
        <v>4</v>
      </c>
      <c r="Z403">
        <v>2</v>
      </c>
      <c r="AA403">
        <v>80</v>
      </c>
      <c r="AB403">
        <v>3</v>
      </c>
      <c r="AC403">
        <v>7</v>
      </c>
      <c r="AD403">
        <v>6</v>
      </c>
      <c r="AE403">
        <v>2</v>
      </c>
      <c r="AF403">
        <v>5</v>
      </c>
      <c r="AG403">
        <v>3</v>
      </c>
      <c r="AH403">
        <v>0</v>
      </c>
      <c r="AI403">
        <v>4</v>
      </c>
    </row>
    <row r="404" spans="1:35" x14ac:dyDescent="0.35">
      <c r="A404">
        <v>43</v>
      </c>
      <c r="B404" t="s">
        <v>35</v>
      </c>
      <c r="C404" t="s">
        <v>44</v>
      </c>
      <c r="D404">
        <v>807</v>
      </c>
      <c r="E404" t="s">
        <v>45</v>
      </c>
      <c r="F404">
        <v>17</v>
      </c>
      <c r="G404">
        <v>3</v>
      </c>
      <c r="H404" t="s">
        <v>60</v>
      </c>
      <c r="I404">
        <v>1</v>
      </c>
      <c r="J404">
        <v>1767</v>
      </c>
      <c r="K404">
        <v>3</v>
      </c>
      <c r="L404" t="s">
        <v>46</v>
      </c>
      <c r="M404">
        <v>38</v>
      </c>
      <c r="N404">
        <v>2</v>
      </c>
      <c r="O404">
        <v>1</v>
      </c>
      <c r="P404" t="s">
        <v>47</v>
      </c>
      <c r="Q404">
        <v>3</v>
      </c>
      <c r="R404" t="s">
        <v>48</v>
      </c>
      <c r="S404">
        <v>2437</v>
      </c>
      <c r="T404">
        <v>15587</v>
      </c>
      <c r="U404">
        <v>9</v>
      </c>
      <c r="V404" t="s">
        <v>42</v>
      </c>
      <c r="W404" t="s">
        <v>35</v>
      </c>
      <c r="X404">
        <v>16</v>
      </c>
      <c r="Y404">
        <v>3</v>
      </c>
      <c r="Z404">
        <v>4</v>
      </c>
      <c r="AA404">
        <v>80</v>
      </c>
      <c r="AB404">
        <v>1</v>
      </c>
      <c r="AC404">
        <v>6</v>
      </c>
      <c r="AD404">
        <v>4</v>
      </c>
      <c r="AE404">
        <v>3</v>
      </c>
      <c r="AF404">
        <v>1</v>
      </c>
      <c r="AG404">
        <v>0</v>
      </c>
      <c r="AH404">
        <v>0</v>
      </c>
      <c r="AI404">
        <v>0</v>
      </c>
    </row>
    <row r="405" spans="1:35" x14ac:dyDescent="0.35">
      <c r="A405">
        <v>38</v>
      </c>
      <c r="B405" t="s">
        <v>43</v>
      </c>
      <c r="C405" t="s">
        <v>36</v>
      </c>
      <c r="D405">
        <v>833</v>
      </c>
      <c r="E405" t="s">
        <v>45</v>
      </c>
      <c r="F405">
        <v>18</v>
      </c>
      <c r="G405">
        <v>3</v>
      </c>
      <c r="H405" t="s">
        <v>51</v>
      </c>
      <c r="I405">
        <v>1</v>
      </c>
      <c r="J405">
        <v>1766</v>
      </c>
      <c r="K405">
        <v>2</v>
      </c>
      <c r="L405" t="s">
        <v>46</v>
      </c>
      <c r="M405">
        <v>60</v>
      </c>
      <c r="N405">
        <v>1</v>
      </c>
      <c r="O405">
        <v>2</v>
      </c>
      <c r="P405" t="s">
        <v>54</v>
      </c>
      <c r="Q405">
        <v>4</v>
      </c>
      <c r="R405" t="s">
        <v>48</v>
      </c>
      <c r="S405">
        <v>5811</v>
      </c>
      <c r="T405">
        <v>24539</v>
      </c>
      <c r="U405">
        <v>3</v>
      </c>
      <c r="V405" t="s">
        <v>42</v>
      </c>
      <c r="W405" t="s">
        <v>35</v>
      </c>
      <c r="X405">
        <v>16</v>
      </c>
      <c r="Y405">
        <v>3</v>
      </c>
      <c r="Z405">
        <v>3</v>
      </c>
      <c r="AA405">
        <v>80</v>
      </c>
      <c r="AB405">
        <v>1</v>
      </c>
      <c r="AC405">
        <v>15</v>
      </c>
      <c r="AD405">
        <v>2</v>
      </c>
      <c r="AE405">
        <v>3</v>
      </c>
      <c r="AF405">
        <v>1</v>
      </c>
      <c r="AG405">
        <v>0</v>
      </c>
      <c r="AH405">
        <v>1</v>
      </c>
      <c r="AI405">
        <v>0</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32</v>
      </c>
      <c r="B416" t="s">
        <v>43</v>
      </c>
      <c r="C416" t="s">
        <v>55</v>
      </c>
      <c r="D416">
        <v>953</v>
      </c>
      <c r="E416" t="s">
        <v>45</v>
      </c>
      <c r="F416">
        <v>5</v>
      </c>
      <c r="G416">
        <v>4</v>
      </c>
      <c r="H416" t="s">
        <v>60</v>
      </c>
      <c r="I416">
        <v>1</v>
      </c>
      <c r="J416">
        <v>1764</v>
      </c>
      <c r="K416">
        <v>2</v>
      </c>
      <c r="L416" t="s">
        <v>46</v>
      </c>
      <c r="M416">
        <v>65</v>
      </c>
      <c r="N416">
        <v>3</v>
      </c>
      <c r="O416">
        <v>1</v>
      </c>
      <c r="P416" t="s">
        <v>47</v>
      </c>
      <c r="Q416">
        <v>2</v>
      </c>
      <c r="R416" t="s">
        <v>41</v>
      </c>
      <c r="S416">
        <v>2718</v>
      </c>
      <c r="T416">
        <v>17674</v>
      </c>
      <c r="U416">
        <v>2</v>
      </c>
      <c r="V416" t="s">
        <v>42</v>
      </c>
      <c r="W416" t="s">
        <v>43</v>
      </c>
      <c r="X416">
        <v>14</v>
      </c>
      <c r="Y416">
        <v>3</v>
      </c>
      <c r="Z416">
        <v>2</v>
      </c>
      <c r="AA416">
        <v>80</v>
      </c>
      <c r="AB416">
        <v>0</v>
      </c>
      <c r="AC416">
        <v>12</v>
      </c>
      <c r="AD416">
        <v>3</v>
      </c>
      <c r="AE416">
        <v>3</v>
      </c>
      <c r="AF416">
        <v>7</v>
      </c>
      <c r="AG416">
        <v>7</v>
      </c>
      <c r="AH416">
        <v>0</v>
      </c>
      <c r="AI416">
        <v>7</v>
      </c>
    </row>
    <row r="417" spans="1:35" x14ac:dyDescent="0.35">
      <c r="A417">
        <v>30</v>
      </c>
      <c r="B417" t="s">
        <v>43</v>
      </c>
      <c r="C417" t="s">
        <v>36</v>
      </c>
      <c r="D417">
        <v>305</v>
      </c>
      <c r="E417" t="s">
        <v>45</v>
      </c>
      <c r="F417">
        <v>16</v>
      </c>
      <c r="G417">
        <v>3</v>
      </c>
      <c r="H417" t="s">
        <v>38</v>
      </c>
      <c r="I417">
        <v>1</v>
      </c>
      <c r="J417">
        <v>1763</v>
      </c>
      <c r="K417">
        <v>3</v>
      </c>
      <c r="L417" t="s">
        <v>46</v>
      </c>
      <c r="M417">
        <v>58</v>
      </c>
      <c r="N417">
        <v>4</v>
      </c>
      <c r="O417">
        <v>2</v>
      </c>
      <c r="P417" t="s">
        <v>54</v>
      </c>
      <c r="Q417">
        <v>3</v>
      </c>
      <c r="R417" t="s">
        <v>48</v>
      </c>
      <c r="S417">
        <v>5294</v>
      </c>
      <c r="T417">
        <v>9128</v>
      </c>
      <c r="U417">
        <v>3</v>
      </c>
      <c r="V417" t="s">
        <v>42</v>
      </c>
      <c r="W417" t="s">
        <v>43</v>
      </c>
      <c r="X417">
        <v>16</v>
      </c>
      <c r="Y417">
        <v>3</v>
      </c>
      <c r="Z417">
        <v>3</v>
      </c>
      <c r="AA417">
        <v>80</v>
      </c>
      <c r="AB417">
        <v>1</v>
      </c>
      <c r="AC417">
        <v>10</v>
      </c>
      <c r="AD417">
        <v>3</v>
      </c>
      <c r="AE417">
        <v>3</v>
      </c>
      <c r="AF417">
        <v>7</v>
      </c>
      <c r="AG417">
        <v>0</v>
      </c>
      <c r="AH417">
        <v>1</v>
      </c>
      <c r="AI417">
        <v>7</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29</v>
      </c>
      <c r="B419" t="s">
        <v>43</v>
      </c>
      <c r="C419" t="s">
        <v>36</v>
      </c>
      <c r="D419">
        <v>590</v>
      </c>
      <c r="E419" t="s">
        <v>45</v>
      </c>
      <c r="F419">
        <v>4</v>
      </c>
      <c r="G419">
        <v>3</v>
      </c>
      <c r="H419" t="s">
        <v>60</v>
      </c>
      <c r="I419">
        <v>1</v>
      </c>
      <c r="J419">
        <v>1762</v>
      </c>
      <c r="K419">
        <v>4</v>
      </c>
      <c r="L419" t="s">
        <v>39</v>
      </c>
      <c r="M419">
        <v>91</v>
      </c>
      <c r="N419">
        <v>2</v>
      </c>
      <c r="O419">
        <v>1</v>
      </c>
      <c r="P419" t="s">
        <v>47</v>
      </c>
      <c r="Q419">
        <v>1</v>
      </c>
      <c r="R419" t="s">
        <v>52</v>
      </c>
      <c r="S419">
        <v>2109</v>
      </c>
      <c r="T419">
        <v>10007</v>
      </c>
      <c r="U419">
        <v>1</v>
      </c>
      <c r="V419" t="s">
        <v>42</v>
      </c>
      <c r="W419" t="s">
        <v>43</v>
      </c>
      <c r="X419">
        <v>13</v>
      </c>
      <c r="Y419">
        <v>3</v>
      </c>
      <c r="Z419">
        <v>3</v>
      </c>
      <c r="AA419">
        <v>80</v>
      </c>
      <c r="AB419">
        <v>1</v>
      </c>
      <c r="AC419">
        <v>1</v>
      </c>
      <c r="AD419">
        <v>2</v>
      </c>
      <c r="AE419">
        <v>3</v>
      </c>
      <c r="AF419">
        <v>1</v>
      </c>
      <c r="AG419">
        <v>0</v>
      </c>
      <c r="AH419">
        <v>0</v>
      </c>
      <c r="AI419">
        <v>0</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38</v>
      </c>
      <c r="B424" t="s">
        <v>43</v>
      </c>
      <c r="C424" t="s">
        <v>44</v>
      </c>
      <c r="D424">
        <v>594</v>
      </c>
      <c r="E424" t="s">
        <v>45</v>
      </c>
      <c r="F424">
        <v>2</v>
      </c>
      <c r="G424">
        <v>2</v>
      </c>
      <c r="H424" t="s">
        <v>51</v>
      </c>
      <c r="I424">
        <v>1</v>
      </c>
      <c r="J424">
        <v>1760</v>
      </c>
      <c r="K424">
        <v>3</v>
      </c>
      <c r="L424" t="s">
        <v>39</v>
      </c>
      <c r="M424">
        <v>75</v>
      </c>
      <c r="N424">
        <v>2</v>
      </c>
      <c r="O424">
        <v>1</v>
      </c>
      <c r="P424" t="s">
        <v>50</v>
      </c>
      <c r="Q424">
        <v>2</v>
      </c>
      <c r="R424" t="s">
        <v>48</v>
      </c>
      <c r="S424">
        <v>2468</v>
      </c>
      <c r="T424">
        <v>15963</v>
      </c>
      <c r="U424">
        <v>4</v>
      </c>
      <c r="V424" t="s">
        <v>42</v>
      </c>
      <c r="W424" t="s">
        <v>43</v>
      </c>
      <c r="X424">
        <v>14</v>
      </c>
      <c r="Y424">
        <v>3</v>
      </c>
      <c r="Z424">
        <v>2</v>
      </c>
      <c r="AA424">
        <v>80</v>
      </c>
      <c r="AB424">
        <v>1</v>
      </c>
      <c r="AC424">
        <v>9</v>
      </c>
      <c r="AD424">
        <v>4</v>
      </c>
      <c r="AE424">
        <v>2</v>
      </c>
      <c r="AF424">
        <v>6</v>
      </c>
      <c r="AG424">
        <v>1</v>
      </c>
      <c r="AH424">
        <v>0</v>
      </c>
      <c r="AI424">
        <v>5</v>
      </c>
    </row>
    <row r="425" spans="1:35" x14ac:dyDescent="0.35">
      <c r="A425">
        <v>34</v>
      </c>
      <c r="B425" t="s">
        <v>43</v>
      </c>
      <c r="C425" t="s">
        <v>36</v>
      </c>
      <c r="D425">
        <v>181</v>
      </c>
      <c r="E425" t="s">
        <v>45</v>
      </c>
      <c r="F425">
        <v>2</v>
      </c>
      <c r="G425">
        <v>4</v>
      </c>
      <c r="H425" t="s">
        <v>51</v>
      </c>
      <c r="I425">
        <v>1</v>
      </c>
      <c r="J425">
        <v>1755</v>
      </c>
      <c r="K425">
        <v>4</v>
      </c>
      <c r="L425" t="s">
        <v>46</v>
      </c>
      <c r="M425">
        <v>97</v>
      </c>
      <c r="N425">
        <v>4</v>
      </c>
      <c r="O425">
        <v>1</v>
      </c>
      <c r="P425" t="s">
        <v>47</v>
      </c>
      <c r="Q425">
        <v>4</v>
      </c>
      <c r="R425" t="s">
        <v>48</v>
      </c>
      <c r="S425">
        <v>2932</v>
      </c>
      <c r="T425">
        <v>5586</v>
      </c>
      <c r="U425">
        <v>0</v>
      </c>
      <c r="V425" t="s">
        <v>42</v>
      </c>
      <c r="W425" t="s">
        <v>35</v>
      </c>
      <c r="X425">
        <v>14</v>
      </c>
      <c r="Y425">
        <v>3</v>
      </c>
      <c r="Z425">
        <v>1</v>
      </c>
      <c r="AA425">
        <v>80</v>
      </c>
      <c r="AB425">
        <v>3</v>
      </c>
      <c r="AC425">
        <v>6</v>
      </c>
      <c r="AD425">
        <v>3</v>
      </c>
      <c r="AE425">
        <v>3</v>
      </c>
      <c r="AF425">
        <v>5</v>
      </c>
      <c r="AG425">
        <v>0</v>
      </c>
      <c r="AH425">
        <v>1</v>
      </c>
      <c r="AI425">
        <v>2</v>
      </c>
    </row>
    <row r="426" spans="1:35" x14ac:dyDescent="0.35">
      <c r="A426">
        <v>29</v>
      </c>
      <c r="B426" t="s">
        <v>43</v>
      </c>
      <c r="C426" t="s">
        <v>44</v>
      </c>
      <c r="D426">
        <v>461</v>
      </c>
      <c r="E426" t="s">
        <v>45</v>
      </c>
      <c r="F426">
        <v>1</v>
      </c>
      <c r="G426">
        <v>3</v>
      </c>
      <c r="H426" t="s">
        <v>38</v>
      </c>
      <c r="I426">
        <v>1</v>
      </c>
      <c r="J426">
        <v>1753</v>
      </c>
      <c r="K426">
        <v>4</v>
      </c>
      <c r="L426" t="s">
        <v>46</v>
      </c>
      <c r="M426">
        <v>70</v>
      </c>
      <c r="N426">
        <v>4</v>
      </c>
      <c r="O426">
        <v>2</v>
      </c>
      <c r="P426" t="s">
        <v>54</v>
      </c>
      <c r="Q426">
        <v>3</v>
      </c>
      <c r="R426" t="s">
        <v>41</v>
      </c>
      <c r="S426">
        <v>6294</v>
      </c>
      <c r="T426">
        <v>23060</v>
      </c>
      <c r="U426">
        <v>8</v>
      </c>
      <c r="V426" t="s">
        <v>42</v>
      </c>
      <c r="W426" t="s">
        <v>35</v>
      </c>
      <c r="X426">
        <v>12</v>
      </c>
      <c r="Y426">
        <v>3</v>
      </c>
      <c r="Z426">
        <v>4</v>
      </c>
      <c r="AA426">
        <v>80</v>
      </c>
      <c r="AB426">
        <v>0</v>
      </c>
      <c r="AC426">
        <v>10</v>
      </c>
      <c r="AD426">
        <v>5</v>
      </c>
      <c r="AE426">
        <v>4</v>
      </c>
      <c r="AF426">
        <v>3</v>
      </c>
      <c r="AG426">
        <v>2</v>
      </c>
      <c r="AH426">
        <v>0</v>
      </c>
      <c r="AI426">
        <v>2</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27</v>
      </c>
      <c r="B429" t="s">
        <v>43</v>
      </c>
      <c r="C429" t="s">
        <v>36</v>
      </c>
      <c r="D429">
        <v>1054</v>
      </c>
      <c r="E429" t="s">
        <v>45</v>
      </c>
      <c r="F429">
        <v>8</v>
      </c>
      <c r="G429">
        <v>3</v>
      </c>
      <c r="H429" t="s">
        <v>51</v>
      </c>
      <c r="I429">
        <v>1</v>
      </c>
      <c r="J429">
        <v>1751</v>
      </c>
      <c r="K429">
        <v>3</v>
      </c>
      <c r="L429" t="s">
        <v>39</v>
      </c>
      <c r="M429">
        <v>67</v>
      </c>
      <c r="N429">
        <v>3</v>
      </c>
      <c r="O429">
        <v>1</v>
      </c>
      <c r="P429" t="s">
        <v>47</v>
      </c>
      <c r="Q429">
        <v>4</v>
      </c>
      <c r="R429" t="s">
        <v>41</v>
      </c>
      <c r="S429">
        <v>3445</v>
      </c>
      <c r="T429">
        <v>6152</v>
      </c>
      <c r="U429">
        <v>1</v>
      </c>
      <c r="V429" t="s">
        <v>42</v>
      </c>
      <c r="W429" t="s">
        <v>43</v>
      </c>
      <c r="X429">
        <v>11</v>
      </c>
      <c r="Y429">
        <v>3</v>
      </c>
      <c r="Z429">
        <v>3</v>
      </c>
      <c r="AA429">
        <v>80</v>
      </c>
      <c r="AB429">
        <v>0</v>
      </c>
      <c r="AC429">
        <v>6</v>
      </c>
      <c r="AD429">
        <v>5</v>
      </c>
      <c r="AE429">
        <v>2</v>
      </c>
      <c r="AF429">
        <v>6</v>
      </c>
      <c r="AG429">
        <v>2</v>
      </c>
      <c r="AH429">
        <v>1</v>
      </c>
      <c r="AI429">
        <v>4</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30</v>
      </c>
      <c r="B435" t="s">
        <v>43</v>
      </c>
      <c r="C435" t="s">
        <v>44</v>
      </c>
      <c r="D435">
        <v>1312</v>
      </c>
      <c r="E435" t="s">
        <v>45</v>
      </c>
      <c r="F435">
        <v>2</v>
      </c>
      <c r="G435">
        <v>4</v>
      </c>
      <c r="H435" t="s">
        <v>60</v>
      </c>
      <c r="I435">
        <v>1</v>
      </c>
      <c r="J435">
        <v>1745</v>
      </c>
      <c r="K435">
        <v>4</v>
      </c>
      <c r="L435" t="s">
        <v>39</v>
      </c>
      <c r="M435">
        <v>78</v>
      </c>
      <c r="N435">
        <v>2</v>
      </c>
      <c r="O435">
        <v>1</v>
      </c>
      <c r="P435" t="s">
        <v>47</v>
      </c>
      <c r="Q435">
        <v>1</v>
      </c>
      <c r="R435" t="s">
        <v>41</v>
      </c>
      <c r="S435">
        <v>4968</v>
      </c>
      <c r="T435">
        <v>26427</v>
      </c>
      <c r="U435">
        <v>0</v>
      </c>
      <c r="V435" t="s">
        <v>42</v>
      </c>
      <c r="W435" t="s">
        <v>43</v>
      </c>
      <c r="X435">
        <v>16</v>
      </c>
      <c r="Y435">
        <v>3</v>
      </c>
      <c r="Z435">
        <v>4</v>
      </c>
      <c r="AA435">
        <v>80</v>
      </c>
      <c r="AB435">
        <v>0</v>
      </c>
      <c r="AC435">
        <v>10</v>
      </c>
      <c r="AD435">
        <v>2</v>
      </c>
      <c r="AE435">
        <v>3</v>
      </c>
      <c r="AF435">
        <v>9</v>
      </c>
      <c r="AG435">
        <v>7</v>
      </c>
      <c r="AH435">
        <v>0</v>
      </c>
      <c r="AI435">
        <v>7</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39</v>
      </c>
      <c r="B439" t="s">
        <v>43</v>
      </c>
      <c r="C439" t="s">
        <v>55</v>
      </c>
      <c r="D439">
        <v>792</v>
      </c>
      <c r="E439" t="s">
        <v>45</v>
      </c>
      <c r="F439">
        <v>1</v>
      </c>
      <c r="G439">
        <v>3</v>
      </c>
      <c r="H439" t="s">
        <v>38</v>
      </c>
      <c r="I439">
        <v>1</v>
      </c>
      <c r="J439">
        <v>1737</v>
      </c>
      <c r="K439">
        <v>4</v>
      </c>
      <c r="L439" t="s">
        <v>46</v>
      </c>
      <c r="M439">
        <v>77</v>
      </c>
      <c r="N439">
        <v>3</v>
      </c>
      <c r="O439">
        <v>2</v>
      </c>
      <c r="P439" t="s">
        <v>50</v>
      </c>
      <c r="Q439">
        <v>4</v>
      </c>
      <c r="R439" t="s">
        <v>48</v>
      </c>
      <c r="S439">
        <v>6472</v>
      </c>
      <c r="T439">
        <v>8989</v>
      </c>
      <c r="U439">
        <v>1</v>
      </c>
      <c r="V439" t="s">
        <v>42</v>
      </c>
      <c r="W439" t="s">
        <v>35</v>
      </c>
      <c r="X439">
        <v>15</v>
      </c>
      <c r="Y439">
        <v>3</v>
      </c>
      <c r="Z439">
        <v>4</v>
      </c>
      <c r="AA439">
        <v>80</v>
      </c>
      <c r="AB439">
        <v>1</v>
      </c>
      <c r="AC439">
        <v>9</v>
      </c>
      <c r="AD439">
        <v>2</v>
      </c>
      <c r="AE439">
        <v>3</v>
      </c>
      <c r="AF439">
        <v>9</v>
      </c>
      <c r="AG439">
        <v>8</v>
      </c>
      <c r="AH439">
        <v>5</v>
      </c>
      <c r="AI439">
        <v>8</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31</v>
      </c>
      <c r="B442" t="s">
        <v>43</v>
      </c>
      <c r="C442" t="s">
        <v>44</v>
      </c>
      <c r="D442">
        <v>163</v>
      </c>
      <c r="E442" t="s">
        <v>45</v>
      </c>
      <c r="F442">
        <v>24</v>
      </c>
      <c r="G442">
        <v>1</v>
      </c>
      <c r="H442" t="s">
        <v>60</v>
      </c>
      <c r="I442">
        <v>1</v>
      </c>
      <c r="J442">
        <v>1736</v>
      </c>
      <c r="K442">
        <v>4</v>
      </c>
      <c r="L442" t="s">
        <v>39</v>
      </c>
      <c r="M442">
        <v>30</v>
      </c>
      <c r="N442">
        <v>3</v>
      </c>
      <c r="O442">
        <v>2</v>
      </c>
      <c r="P442" t="s">
        <v>53</v>
      </c>
      <c r="Q442">
        <v>4</v>
      </c>
      <c r="R442" t="s">
        <v>41</v>
      </c>
      <c r="S442">
        <v>5238</v>
      </c>
      <c r="T442">
        <v>6670</v>
      </c>
      <c r="U442">
        <v>2</v>
      </c>
      <c r="V442" t="s">
        <v>42</v>
      </c>
      <c r="W442" t="s">
        <v>43</v>
      </c>
      <c r="X442">
        <v>20</v>
      </c>
      <c r="Y442">
        <v>4</v>
      </c>
      <c r="Z442">
        <v>4</v>
      </c>
      <c r="AA442">
        <v>80</v>
      </c>
      <c r="AB442">
        <v>0</v>
      </c>
      <c r="AC442">
        <v>9</v>
      </c>
      <c r="AD442">
        <v>3</v>
      </c>
      <c r="AE442">
        <v>2</v>
      </c>
      <c r="AF442">
        <v>5</v>
      </c>
      <c r="AG442">
        <v>4</v>
      </c>
      <c r="AH442">
        <v>1</v>
      </c>
      <c r="AI442">
        <v>4</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23</v>
      </c>
      <c r="B444" t="s">
        <v>43</v>
      </c>
      <c r="C444" t="s">
        <v>36</v>
      </c>
      <c r="D444">
        <v>160</v>
      </c>
      <c r="E444" t="s">
        <v>45</v>
      </c>
      <c r="F444">
        <v>4</v>
      </c>
      <c r="G444">
        <v>1</v>
      </c>
      <c r="H444" t="s">
        <v>51</v>
      </c>
      <c r="I444">
        <v>1</v>
      </c>
      <c r="J444">
        <v>1735</v>
      </c>
      <c r="K444">
        <v>3</v>
      </c>
      <c r="L444" t="s">
        <v>39</v>
      </c>
      <c r="M444">
        <v>51</v>
      </c>
      <c r="N444">
        <v>3</v>
      </c>
      <c r="O444">
        <v>1</v>
      </c>
      <c r="P444" t="s">
        <v>50</v>
      </c>
      <c r="Q444">
        <v>2</v>
      </c>
      <c r="R444" t="s">
        <v>41</v>
      </c>
      <c r="S444">
        <v>3295</v>
      </c>
      <c r="T444">
        <v>12862</v>
      </c>
      <c r="U444">
        <v>1</v>
      </c>
      <c r="V444" t="s">
        <v>42</v>
      </c>
      <c r="W444" t="s">
        <v>43</v>
      </c>
      <c r="X444">
        <v>13</v>
      </c>
      <c r="Y444">
        <v>3</v>
      </c>
      <c r="Z444">
        <v>3</v>
      </c>
      <c r="AA444">
        <v>80</v>
      </c>
      <c r="AB444">
        <v>0</v>
      </c>
      <c r="AC444">
        <v>3</v>
      </c>
      <c r="AD444">
        <v>3</v>
      </c>
      <c r="AE444">
        <v>1</v>
      </c>
      <c r="AF444">
        <v>3</v>
      </c>
      <c r="AG444">
        <v>2</v>
      </c>
      <c r="AH444">
        <v>1</v>
      </c>
      <c r="AI444">
        <v>2</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30</v>
      </c>
      <c r="B446" t="s">
        <v>43</v>
      </c>
      <c r="C446" t="s">
        <v>36</v>
      </c>
      <c r="D446">
        <v>793</v>
      </c>
      <c r="E446" t="s">
        <v>45</v>
      </c>
      <c r="F446">
        <v>16</v>
      </c>
      <c r="G446">
        <v>1</v>
      </c>
      <c r="H446" t="s">
        <v>38</v>
      </c>
      <c r="I446">
        <v>1</v>
      </c>
      <c r="J446">
        <v>1729</v>
      </c>
      <c r="K446">
        <v>2</v>
      </c>
      <c r="L446" t="s">
        <v>46</v>
      </c>
      <c r="M446">
        <v>33</v>
      </c>
      <c r="N446">
        <v>3</v>
      </c>
      <c r="O446">
        <v>1</v>
      </c>
      <c r="P446" t="s">
        <v>47</v>
      </c>
      <c r="Q446">
        <v>4</v>
      </c>
      <c r="R446" t="s">
        <v>48</v>
      </c>
      <c r="S446">
        <v>2862</v>
      </c>
      <c r="T446">
        <v>3811</v>
      </c>
      <c r="U446">
        <v>1</v>
      </c>
      <c r="V446" t="s">
        <v>42</v>
      </c>
      <c r="W446" t="s">
        <v>43</v>
      </c>
      <c r="X446">
        <v>12</v>
      </c>
      <c r="Y446">
        <v>3</v>
      </c>
      <c r="Z446">
        <v>2</v>
      </c>
      <c r="AA446">
        <v>80</v>
      </c>
      <c r="AB446">
        <v>1</v>
      </c>
      <c r="AC446">
        <v>10</v>
      </c>
      <c r="AD446">
        <v>2</v>
      </c>
      <c r="AE446">
        <v>2</v>
      </c>
      <c r="AF446">
        <v>10</v>
      </c>
      <c r="AG446">
        <v>0</v>
      </c>
      <c r="AH446">
        <v>0</v>
      </c>
      <c r="AI446">
        <v>8</v>
      </c>
    </row>
    <row r="447" spans="1:35" x14ac:dyDescent="0.35">
      <c r="A447">
        <v>35</v>
      </c>
      <c r="B447" t="s">
        <v>43</v>
      </c>
      <c r="C447" t="s">
        <v>36</v>
      </c>
      <c r="D447">
        <v>1370</v>
      </c>
      <c r="E447" t="s">
        <v>45</v>
      </c>
      <c r="F447">
        <v>27</v>
      </c>
      <c r="G447">
        <v>4</v>
      </c>
      <c r="H447" t="s">
        <v>38</v>
      </c>
      <c r="I447">
        <v>1</v>
      </c>
      <c r="J447">
        <v>1728</v>
      </c>
      <c r="K447">
        <v>4</v>
      </c>
      <c r="L447" t="s">
        <v>46</v>
      </c>
      <c r="M447">
        <v>49</v>
      </c>
      <c r="N447">
        <v>3</v>
      </c>
      <c r="O447">
        <v>2</v>
      </c>
      <c r="P447" t="s">
        <v>53</v>
      </c>
      <c r="Q447">
        <v>3</v>
      </c>
      <c r="R447" t="s">
        <v>48</v>
      </c>
      <c r="S447">
        <v>6883</v>
      </c>
      <c r="T447">
        <v>5151</v>
      </c>
      <c r="U447">
        <v>2</v>
      </c>
      <c r="V447" t="s">
        <v>42</v>
      </c>
      <c r="W447" t="s">
        <v>43</v>
      </c>
      <c r="X447">
        <v>16</v>
      </c>
      <c r="Y447">
        <v>3</v>
      </c>
      <c r="Z447">
        <v>2</v>
      </c>
      <c r="AA447">
        <v>80</v>
      </c>
      <c r="AB447">
        <v>1</v>
      </c>
      <c r="AC447">
        <v>17</v>
      </c>
      <c r="AD447">
        <v>3</v>
      </c>
      <c r="AE447">
        <v>3</v>
      </c>
      <c r="AF447">
        <v>7</v>
      </c>
      <c r="AG447">
        <v>7</v>
      </c>
      <c r="AH447">
        <v>0</v>
      </c>
      <c r="AI447">
        <v>7</v>
      </c>
    </row>
    <row r="448" spans="1:35" x14ac:dyDescent="0.35">
      <c r="A448">
        <v>46</v>
      </c>
      <c r="B448" t="s">
        <v>43</v>
      </c>
      <c r="C448" t="s">
        <v>36</v>
      </c>
      <c r="D448">
        <v>717</v>
      </c>
      <c r="E448" t="s">
        <v>45</v>
      </c>
      <c r="F448">
        <v>13</v>
      </c>
      <c r="G448">
        <v>4</v>
      </c>
      <c r="H448" t="s">
        <v>38</v>
      </c>
      <c r="I448">
        <v>1</v>
      </c>
      <c r="J448">
        <v>1727</v>
      </c>
      <c r="K448">
        <v>3</v>
      </c>
      <c r="L448" t="s">
        <v>46</v>
      </c>
      <c r="M448">
        <v>34</v>
      </c>
      <c r="N448">
        <v>3</v>
      </c>
      <c r="O448">
        <v>2</v>
      </c>
      <c r="P448" t="s">
        <v>54</v>
      </c>
      <c r="Q448">
        <v>2</v>
      </c>
      <c r="R448" t="s">
        <v>41</v>
      </c>
      <c r="S448">
        <v>5562</v>
      </c>
      <c r="T448">
        <v>9697</v>
      </c>
      <c r="U448">
        <v>6</v>
      </c>
      <c r="V448" t="s">
        <v>42</v>
      </c>
      <c r="W448" t="s">
        <v>43</v>
      </c>
      <c r="X448">
        <v>14</v>
      </c>
      <c r="Y448">
        <v>3</v>
      </c>
      <c r="Z448">
        <v>4</v>
      </c>
      <c r="AA448">
        <v>80</v>
      </c>
      <c r="AB448">
        <v>0</v>
      </c>
      <c r="AC448">
        <v>19</v>
      </c>
      <c r="AD448">
        <v>3</v>
      </c>
      <c r="AE448">
        <v>3</v>
      </c>
      <c r="AF448">
        <v>10</v>
      </c>
      <c r="AG448">
        <v>7</v>
      </c>
      <c r="AH448">
        <v>0</v>
      </c>
      <c r="AI448">
        <v>9</v>
      </c>
    </row>
    <row r="449" spans="1:35" x14ac:dyDescent="0.35">
      <c r="A449">
        <v>24</v>
      </c>
      <c r="B449" t="s">
        <v>43</v>
      </c>
      <c r="C449" t="s">
        <v>36</v>
      </c>
      <c r="D449">
        <v>506</v>
      </c>
      <c r="E449" t="s">
        <v>45</v>
      </c>
      <c r="F449">
        <v>29</v>
      </c>
      <c r="G449">
        <v>1</v>
      </c>
      <c r="H449" t="s">
        <v>51</v>
      </c>
      <c r="I449">
        <v>1</v>
      </c>
      <c r="J449">
        <v>1725</v>
      </c>
      <c r="K449">
        <v>2</v>
      </c>
      <c r="L449" t="s">
        <v>46</v>
      </c>
      <c r="M449">
        <v>91</v>
      </c>
      <c r="N449">
        <v>3</v>
      </c>
      <c r="O449">
        <v>1</v>
      </c>
      <c r="P449" t="s">
        <v>50</v>
      </c>
      <c r="Q449">
        <v>1</v>
      </c>
      <c r="R449" t="s">
        <v>52</v>
      </c>
      <c r="S449">
        <v>3907</v>
      </c>
      <c r="T449">
        <v>3622</v>
      </c>
      <c r="U449">
        <v>1</v>
      </c>
      <c r="V449" t="s">
        <v>42</v>
      </c>
      <c r="W449" t="s">
        <v>43</v>
      </c>
      <c r="X449">
        <v>13</v>
      </c>
      <c r="Y449">
        <v>3</v>
      </c>
      <c r="Z449">
        <v>2</v>
      </c>
      <c r="AA449">
        <v>80</v>
      </c>
      <c r="AB449">
        <v>3</v>
      </c>
      <c r="AC449">
        <v>6</v>
      </c>
      <c r="AD449">
        <v>2</v>
      </c>
      <c r="AE449">
        <v>4</v>
      </c>
      <c r="AF449">
        <v>6</v>
      </c>
      <c r="AG449">
        <v>2</v>
      </c>
      <c r="AH449">
        <v>1</v>
      </c>
      <c r="AI449">
        <v>2</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40</v>
      </c>
      <c r="B452" t="s">
        <v>43</v>
      </c>
      <c r="C452" t="s">
        <v>36</v>
      </c>
      <c r="D452">
        <v>369</v>
      </c>
      <c r="E452" t="s">
        <v>45</v>
      </c>
      <c r="F452">
        <v>8</v>
      </c>
      <c r="G452">
        <v>2</v>
      </c>
      <c r="H452" t="s">
        <v>38</v>
      </c>
      <c r="I452">
        <v>1</v>
      </c>
      <c r="J452">
        <v>1724</v>
      </c>
      <c r="K452">
        <v>2</v>
      </c>
      <c r="L452" t="s">
        <v>39</v>
      </c>
      <c r="M452">
        <v>92</v>
      </c>
      <c r="N452">
        <v>3</v>
      </c>
      <c r="O452">
        <v>2</v>
      </c>
      <c r="P452" t="s">
        <v>53</v>
      </c>
      <c r="Q452">
        <v>1</v>
      </c>
      <c r="R452" t="s">
        <v>48</v>
      </c>
      <c r="S452">
        <v>6516</v>
      </c>
      <c r="T452">
        <v>5041</v>
      </c>
      <c r="U452">
        <v>2</v>
      </c>
      <c r="V452" t="s">
        <v>42</v>
      </c>
      <c r="W452" t="s">
        <v>35</v>
      </c>
      <c r="X452">
        <v>16</v>
      </c>
      <c r="Y452">
        <v>3</v>
      </c>
      <c r="Z452">
        <v>2</v>
      </c>
      <c r="AA452">
        <v>80</v>
      </c>
      <c r="AB452">
        <v>1</v>
      </c>
      <c r="AC452">
        <v>18</v>
      </c>
      <c r="AD452">
        <v>3</v>
      </c>
      <c r="AE452">
        <v>3</v>
      </c>
      <c r="AF452">
        <v>1</v>
      </c>
      <c r="AG452">
        <v>0</v>
      </c>
      <c r="AH452">
        <v>0</v>
      </c>
      <c r="AI452">
        <v>0</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31</v>
      </c>
      <c r="B454" t="s">
        <v>43</v>
      </c>
      <c r="C454" t="s">
        <v>36</v>
      </c>
      <c r="D454">
        <v>741</v>
      </c>
      <c r="E454" t="s">
        <v>45</v>
      </c>
      <c r="F454">
        <v>2</v>
      </c>
      <c r="G454">
        <v>4</v>
      </c>
      <c r="H454" t="s">
        <v>38</v>
      </c>
      <c r="I454">
        <v>1</v>
      </c>
      <c r="J454">
        <v>1721</v>
      </c>
      <c r="K454">
        <v>2</v>
      </c>
      <c r="L454" t="s">
        <v>46</v>
      </c>
      <c r="M454">
        <v>69</v>
      </c>
      <c r="N454">
        <v>3</v>
      </c>
      <c r="O454">
        <v>1</v>
      </c>
      <c r="P454" t="s">
        <v>50</v>
      </c>
      <c r="Q454">
        <v>3</v>
      </c>
      <c r="R454" t="s">
        <v>48</v>
      </c>
      <c r="S454">
        <v>3477</v>
      </c>
      <c r="T454">
        <v>18103</v>
      </c>
      <c r="U454">
        <v>1</v>
      </c>
      <c r="V454" t="s">
        <v>42</v>
      </c>
      <c r="W454" t="s">
        <v>43</v>
      </c>
      <c r="X454">
        <v>14</v>
      </c>
      <c r="Y454">
        <v>3</v>
      </c>
      <c r="Z454">
        <v>4</v>
      </c>
      <c r="AA454">
        <v>80</v>
      </c>
      <c r="AB454">
        <v>1</v>
      </c>
      <c r="AC454">
        <v>6</v>
      </c>
      <c r="AD454">
        <v>2</v>
      </c>
      <c r="AE454">
        <v>4</v>
      </c>
      <c r="AF454">
        <v>5</v>
      </c>
      <c r="AG454">
        <v>2</v>
      </c>
      <c r="AH454">
        <v>0</v>
      </c>
      <c r="AI454">
        <v>3</v>
      </c>
    </row>
    <row r="455" spans="1:35" x14ac:dyDescent="0.35">
      <c r="A455">
        <v>32</v>
      </c>
      <c r="B455" t="s">
        <v>43</v>
      </c>
      <c r="C455" t="s">
        <v>44</v>
      </c>
      <c r="D455">
        <v>585</v>
      </c>
      <c r="E455" t="s">
        <v>45</v>
      </c>
      <c r="F455">
        <v>10</v>
      </c>
      <c r="G455">
        <v>3</v>
      </c>
      <c r="H455" t="s">
        <v>38</v>
      </c>
      <c r="I455">
        <v>1</v>
      </c>
      <c r="J455">
        <v>1720</v>
      </c>
      <c r="K455">
        <v>1</v>
      </c>
      <c r="L455" t="s">
        <v>46</v>
      </c>
      <c r="M455">
        <v>56</v>
      </c>
      <c r="N455">
        <v>3</v>
      </c>
      <c r="O455">
        <v>1</v>
      </c>
      <c r="P455" t="s">
        <v>47</v>
      </c>
      <c r="Q455">
        <v>3</v>
      </c>
      <c r="R455" t="s">
        <v>48</v>
      </c>
      <c r="S455">
        <v>3433</v>
      </c>
      <c r="T455">
        <v>17360</v>
      </c>
      <c r="U455">
        <v>6</v>
      </c>
      <c r="V455" t="s">
        <v>42</v>
      </c>
      <c r="W455" t="s">
        <v>43</v>
      </c>
      <c r="X455">
        <v>13</v>
      </c>
      <c r="Y455">
        <v>3</v>
      </c>
      <c r="Z455">
        <v>1</v>
      </c>
      <c r="AA455">
        <v>80</v>
      </c>
      <c r="AB455">
        <v>1</v>
      </c>
      <c r="AC455">
        <v>10</v>
      </c>
      <c r="AD455">
        <v>3</v>
      </c>
      <c r="AE455">
        <v>2</v>
      </c>
      <c r="AF455">
        <v>5</v>
      </c>
      <c r="AG455">
        <v>2</v>
      </c>
      <c r="AH455">
        <v>1</v>
      </c>
      <c r="AI455">
        <v>3</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45</v>
      </c>
      <c r="B458" t="s">
        <v>43</v>
      </c>
      <c r="C458" t="s">
        <v>36</v>
      </c>
      <c r="D458">
        <v>1005</v>
      </c>
      <c r="E458" t="s">
        <v>45</v>
      </c>
      <c r="F458">
        <v>28</v>
      </c>
      <c r="G458">
        <v>2</v>
      </c>
      <c r="H458" t="s">
        <v>60</v>
      </c>
      <c r="I458">
        <v>1</v>
      </c>
      <c r="J458">
        <v>1719</v>
      </c>
      <c r="K458">
        <v>4</v>
      </c>
      <c r="L458" t="s">
        <v>39</v>
      </c>
      <c r="M458">
        <v>48</v>
      </c>
      <c r="N458">
        <v>2</v>
      </c>
      <c r="O458">
        <v>4</v>
      </c>
      <c r="P458" t="s">
        <v>58</v>
      </c>
      <c r="Q458">
        <v>2</v>
      </c>
      <c r="R458" t="s">
        <v>41</v>
      </c>
      <c r="S458">
        <v>16704</v>
      </c>
      <c r="T458">
        <v>17119</v>
      </c>
      <c r="U458">
        <v>1</v>
      </c>
      <c r="V458" t="s">
        <v>42</v>
      </c>
      <c r="W458" t="s">
        <v>43</v>
      </c>
      <c r="X458">
        <v>11</v>
      </c>
      <c r="Y458">
        <v>3</v>
      </c>
      <c r="Z458">
        <v>3</v>
      </c>
      <c r="AA458">
        <v>80</v>
      </c>
      <c r="AB458">
        <v>0</v>
      </c>
      <c r="AC458">
        <v>21</v>
      </c>
      <c r="AD458">
        <v>2</v>
      </c>
      <c r="AE458">
        <v>3</v>
      </c>
      <c r="AF458">
        <v>21</v>
      </c>
      <c r="AG458">
        <v>6</v>
      </c>
      <c r="AH458">
        <v>8</v>
      </c>
      <c r="AI458">
        <v>6</v>
      </c>
    </row>
    <row r="459" spans="1:35" x14ac:dyDescent="0.35">
      <c r="A459">
        <v>26</v>
      </c>
      <c r="B459" t="s">
        <v>43</v>
      </c>
      <c r="C459" t="s">
        <v>36</v>
      </c>
      <c r="D459">
        <v>390</v>
      </c>
      <c r="E459" t="s">
        <v>45</v>
      </c>
      <c r="F459">
        <v>17</v>
      </c>
      <c r="G459">
        <v>4</v>
      </c>
      <c r="H459" t="s">
        <v>51</v>
      </c>
      <c r="I459">
        <v>1</v>
      </c>
      <c r="J459">
        <v>1718</v>
      </c>
      <c r="K459">
        <v>4</v>
      </c>
      <c r="L459" t="s">
        <v>46</v>
      </c>
      <c r="M459">
        <v>62</v>
      </c>
      <c r="N459">
        <v>1</v>
      </c>
      <c r="O459">
        <v>1</v>
      </c>
      <c r="P459" t="s">
        <v>50</v>
      </c>
      <c r="Q459">
        <v>3</v>
      </c>
      <c r="R459" t="s">
        <v>48</v>
      </c>
      <c r="S459">
        <v>2305</v>
      </c>
      <c r="T459">
        <v>6217</v>
      </c>
      <c r="U459">
        <v>1</v>
      </c>
      <c r="V459" t="s">
        <v>42</v>
      </c>
      <c r="W459" t="s">
        <v>43</v>
      </c>
      <c r="X459">
        <v>15</v>
      </c>
      <c r="Y459">
        <v>3</v>
      </c>
      <c r="Z459">
        <v>3</v>
      </c>
      <c r="AA459">
        <v>80</v>
      </c>
      <c r="AB459">
        <v>3</v>
      </c>
      <c r="AC459">
        <v>3</v>
      </c>
      <c r="AD459">
        <v>3</v>
      </c>
      <c r="AE459">
        <v>4</v>
      </c>
      <c r="AF459">
        <v>3</v>
      </c>
      <c r="AG459">
        <v>2</v>
      </c>
      <c r="AH459">
        <v>0</v>
      </c>
      <c r="AI459">
        <v>2</v>
      </c>
    </row>
    <row r="460" spans="1:35" x14ac:dyDescent="0.35">
      <c r="A460">
        <v>45</v>
      </c>
      <c r="B460" t="s">
        <v>43</v>
      </c>
      <c r="C460" t="s">
        <v>55</v>
      </c>
      <c r="D460">
        <v>1238</v>
      </c>
      <c r="E460" t="s">
        <v>45</v>
      </c>
      <c r="F460">
        <v>1</v>
      </c>
      <c r="G460">
        <v>1</v>
      </c>
      <c r="H460" t="s">
        <v>38</v>
      </c>
      <c r="I460">
        <v>1</v>
      </c>
      <c r="J460">
        <v>1712</v>
      </c>
      <c r="K460">
        <v>3</v>
      </c>
      <c r="L460" t="s">
        <v>46</v>
      </c>
      <c r="M460">
        <v>74</v>
      </c>
      <c r="N460">
        <v>2</v>
      </c>
      <c r="O460">
        <v>3</v>
      </c>
      <c r="P460" t="s">
        <v>54</v>
      </c>
      <c r="Q460">
        <v>3</v>
      </c>
      <c r="R460" t="s">
        <v>48</v>
      </c>
      <c r="S460">
        <v>10748</v>
      </c>
      <c r="T460">
        <v>3395</v>
      </c>
      <c r="U460">
        <v>3</v>
      </c>
      <c r="V460" t="s">
        <v>42</v>
      </c>
      <c r="W460" t="s">
        <v>43</v>
      </c>
      <c r="X460">
        <v>23</v>
      </c>
      <c r="Y460">
        <v>4</v>
      </c>
      <c r="Z460">
        <v>4</v>
      </c>
      <c r="AA460">
        <v>80</v>
      </c>
      <c r="AB460">
        <v>1</v>
      </c>
      <c r="AC460">
        <v>25</v>
      </c>
      <c r="AD460">
        <v>3</v>
      </c>
      <c r="AE460">
        <v>2</v>
      </c>
      <c r="AF460">
        <v>23</v>
      </c>
      <c r="AG460">
        <v>15</v>
      </c>
      <c r="AH460">
        <v>14</v>
      </c>
      <c r="AI460">
        <v>4</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29</v>
      </c>
      <c r="B462" t="s">
        <v>43</v>
      </c>
      <c r="C462" t="s">
        <v>36</v>
      </c>
      <c r="D462">
        <v>1082</v>
      </c>
      <c r="E462" t="s">
        <v>45</v>
      </c>
      <c r="F462">
        <v>9</v>
      </c>
      <c r="G462">
        <v>4</v>
      </c>
      <c r="H462" t="s">
        <v>51</v>
      </c>
      <c r="I462">
        <v>1</v>
      </c>
      <c r="J462">
        <v>1709</v>
      </c>
      <c r="K462">
        <v>4</v>
      </c>
      <c r="L462" t="s">
        <v>39</v>
      </c>
      <c r="M462">
        <v>43</v>
      </c>
      <c r="N462">
        <v>3</v>
      </c>
      <c r="O462">
        <v>1</v>
      </c>
      <c r="P462" t="s">
        <v>50</v>
      </c>
      <c r="Q462">
        <v>3</v>
      </c>
      <c r="R462" t="s">
        <v>48</v>
      </c>
      <c r="S462">
        <v>2974</v>
      </c>
      <c r="T462">
        <v>25412</v>
      </c>
      <c r="U462">
        <v>9</v>
      </c>
      <c r="V462" t="s">
        <v>42</v>
      </c>
      <c r="W462" t="s">
        <v>43</v>
      </c>
      <c r="X462">
        <v>17</v>
      </c>
      <c r="Y462">
        <v>3</v>
      </c>
      <c r="Z462">
        <v>3</v>
      </c>
      <c r="AA462">
        <v>80</v>
      </c>
      <c r="AB462">
        <v>1</v>
      </c>
      <c r="AC462">
        <v>9</v>
      </c>
      <c r="AD462">
        <v>2</v>
      </c>
      <c r="AE462">
        <v>3</v>
      </c>
      <c r="AF462">
        <v>5</v>
      </c>
      <c r="AG462">
        <v>3</v>
      </c>
      <c r="AH462">
        <v>1</v>
      </c>
      <c r="AI462">
        <v>2</v>
      </c>
    </row>
    <row r="463" spans="1:35" x14ac:dyDescent="0.35">
      <c r="A463">
        <v>24</v>
      </c>
      <c r="B463" t="s">
        <v>43</v>
      </c>
      <c r="C463" t="s">
        <v>36</v>
      </c>
      <c r="D463">
        <v>581</v>
      </c>
      <c r="E463" t="s">
        <v>45</v>
      </c>
      <c r="F463">
        <v>9</v>
      </c>
      <c r="G463">
        <v>3</v>
      </c>
      <c r="H463" t="s">
        <v>51</v>
      </c>
      <c r="I463">
        <v>1</v>
      </c>
      <c r="J463">
        <v>1707</v>
      </c>
      <c r="K463">
        <v>3</v>
      </c>
      <c r="L463" t="s">
        <v>46</v>
      </c>
      <c r="M463">
        <v>62</v>
      </c>
      <c r="N463">
        <v>4</v>
      </c>
      <c r="O463">
        <v>1</v>
      </c>
      <c r="P463" t="s">
        <v>47</v>
      </c>
      <c r="Q463">
        <v>3</v>
      </c>
      <c r="R463" t="s">
        <v>48</v>
      </c>
      <c r="S463">
        <v>4401</v>
      </c>
      <c r="T463">
        <v>17616</v>
      </c>
      <c r="U463">
        <v>1</v>
      </c>
      <c r="V463" t="s">
        <v>42</v>
      </c>
      <c r="W463" t="s">
        <v>43</v>
      </c>
      <c r="X463">
        <v>16</v>
      </c>
      <c r="Y463">
        <v>3</v>
      </c>
      <c r="Z463">
        <v>4</v>
      </c>
      <c r="AA463">
        <v>80</v>
      </c>
      <c r="AB463">
        <v>1</v>
      </c>
      <c r="AC463">
        <v>5</v>
      </c>
      <c r="AD463">
        <v>1</v>
      </c>
      <c r="AE463">
        <v>3</v>
      </c>
      <c r="AF463">
        <v>5</v>
      </c>
      <c r="AG463">
        <v>3</v>
      </c>
      <c r="AH463">
        <v>0</v>
      </c>
      <c r="AI463">
        <v>4</v>
      </c>
    </row>
    <row r="464" spans="1:35" x14ac:dyDescent="0.35">
      <c r="A464">
        <v>35</v>
      </c>
      <c r="B464" t="s">
        <v>43</v>
      </c>
      <c r="C464" t="s">
        <v>44</v>
      </c>
      <c r="D464">
        <v>146</v>
      </c>
      <c r="E464" t="s">
        <v>45</v>
      </c>
      <c r="F464">
        <v>2</v>
      </c>
      <c r="G464">
        <v>4</v>
      </c>
      <c r="H464" t="s">
        <v>51</v>
      </c>
      <c r="I464">
        <v>1</v>
      </c>
      <c r="J464">
        <v>1704</v>
      </c>
      <c r="K464">
        <v>1</v>
      </c>
      <c r="L464" t="s">
        <v>46</v>
      </c>
      <c r="M464">
        <v>79</v>
      </c>
      <c r="N464">
        <v>2</v>
      </c>
      <c r="O464">
        <v>1</v>
      </c>
      <c r="P464" t="s">
        <v>47</v>
      </c>
      <c r="Q464">
        <v>4</v>
      </c>
      <c r="R464" t="s">
        <v>41</v>
      </c>
      <c r="S464">
        <v>4930</v>
      </c>
      <c r="T464">
        <v>13970</v>
      </c>
      <c r="U464">
        <v>0</v>
      </c>
      <c r="V464" t="s">
        <v>42</v>
      </c>
      <c r="W464" t="s">
        <v>35</v>
      </c>
      <c r="X464">
        <v>14</v>
      </c>
      <c r="Y464">
        <v>3</v>
      </c>
      <c r="Z464">
        <v>3</v>
      </c>
      <c r="AA464">
        <v>80</v>
      </c>
      <c r="AB464">
        <v>0</v>
      </c>
      <c r="AC464">
        <v>6</v>
      </c>
      <c r="AD464">
        <v>2</v>
      </c>
      <c r="AE464">
        <v>4</v>
      </c>
      <c r="AF464">
        <v>5</v>
      </c>
      <c r="AG464">
        <v>4</v>
      </c>
      <c r="AH464">
        <v>1</v>
      </c>
      <c r="AI464">
        <v>4</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44</v>
      </c>
      <c r="B468" t="s">
        <v>43</v>
      </c>
      <c r="C468" t="s">
        <v>36</v>
      </c>
      <c r="D468">
        <v>921</v>
      </c>
      <c r="E468" t="s">
        <v>45</v>
      </c>
      <c r="F468">
        <v>2</v>
      </c>
      <c r="G468">
        <v>3</v>
      </c>
      <c r="H468" t="s">
        <v>38</v>
      </c>
      <c r="I468">
        <v>1</v>
      </c>
      <c r="J468">
        <v>1703</v>
      </c>
      <c r="K468">
        <v>3</v>
      </c>
      <c r="L468" t="s">
        <v>39</v>
      </c>
      <c r="M468">
        <v>96</v>
      </c>
      <c r="N468">
        <v>4</v>
      </c>
      <c r="O468">
        <v>3</v>
      </c>
      <c r="P468" t="s">
        <v>54</v>
      </c>
      <c r="Q468">
        <v>4</v>
      </c>
      <c r="R468" t="s">
        <v>48</v>
      </c>
      <c r="S468">
        <v>7879</v>
      </c>
      <c r="T468">
        <v>14810</v>
      </c>
      <c r="U468">
        <v>1</v>
      </c>
      <c r="V468" t="s">
        <v>42</v>
      </c>
      <c r="W468" t="s">
        <v>35</v>
      </c>
      <c r="X468">
        <v>19</v>
      </c>
      <c r="Y468">
        <v>3</v>
      </c>
      <c r="Z468">
        <v>2</v>
      </c>
      <c r="AA468">
        <v>80</v>
      </c>
      <c r="AB468">
        <v>1</v>
      </c>
      <c r="AC468">
        <v>9</v>
      </c>
      <c r="AD468">
        <v>2</v>
      </c>
      <c r="AE468">
        <v>3</v>
      </c>
      <c r="AF468">
        <v>8</v>
      </c>
      <c r="AG468">
        <v>7</v>
      </c>
      <c r="AH468">
        <v>6</v>
      </c>
      <c r="AI468">
        <v>7</v>
      </c>
    </row>
    <row r="469" spans="1:35" x14ac:dyDescent="0.35">
      <c r="A469">
        <v>34</v>
      </c>
      <c r="B469" t="s">
        <v>43</v>
      </c>
      <c r="C469" t="s">
        <v>36</v>
      </c>
      <c r="D469">
        <v>678</v>
      </c>
      <c r="E469" t="s">
        <v>45</v>
      </c>
      <c r="F469">
        <v>19</v>
      </c>
      <c r="G469">
        <v>3</v>
      </c>
      <c r="H469" t="s">
        <v>38</v>
      </c>
      <c r="I469">
        <v>1</v>
      </c>
      <c r="J469">
        <v>1701</v>
      </c>
      <c r="K469">
        <v>2</v>
      </c>
      <c r="L469" t="s">
        <v>39</v>
      </c>
      <c r="M469">
        <v>35</v>
      </c>
      <c r="N469">
        <v>2</v>
      </c>
      <c r="O469">
        <v>1</v>
      </c>
      <c r="P469" t="s">
        <v>47</v>
      </c>
      <c r="Q469">
        <v>4</v>
      </c>
      <c r="R469" t="s">
        <v>48</v>
      </c>
      <c r="S469">
        <v>2929</v>
      </c>
      <c r="T469">
        <v>20338</v>
      </c>
      <c r="U469">
        <v>1</v>
      </c>
      <c r="V469" t="s">
        <v>42</v>
      </c>
      <c r="W469" t="s">
        <v>43</v>
      </c>
      <c r="X469">
        <v>12</v>
      </c>
      <c r="Y469">
        <v>3</v>
      </c>
      <c r="Z469">
        <v>2</v>
      </c>
      <c r="AA469">
        <v>80</v>
      </c>
      <c r="AB469">
        <v>0</v>
      </c>
      <c r="AC469">
        <v>10</v>
      </c>
      <c r="AD469">
        <v>3</v>
      </c>
      <c r="AE469">
        <v>3</v>
      </c>
      <c r="AF469">
        <v>10</v>
      </c>
      <c r="AG469">
        <v>9</v>
      </c>
      <c r="AH469">
        <v>8</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33</v>
      </c>
      <c r="B471" t="s">
        <v>43</v>
      </c>
      <c r="C471" t="s">
        <v>36</v>
      </c>
      <c r="D471">
        <v>267</v>
      </c>
      <c r="E471" t="s">
        <v>45</v>
      </c>
      <c r="F471">
        <v>21</v>
      </c>
      <c r="G471">
        <v>3</v>
      </c>
      <c r="H471" t="s">
        <v>51</v>
      </c>
      <c r="I471">
        <v>1</v>
      </c>
      <c r="J471">
        <v>1698</v>
      </c>
      <c r="K471">
        <v>2</v>
      </c>
      <c r="L471" t="s">
        <v>46</v>
      </c>
      <c r="M471">
        <v>79</v>
      </c>
      <c r="N471">
        <v>4</v>
      </c>
      <c r="O471">
        <v>1</v>
      </c>
      <c r="P471" t="s">
        <v>50</v>
      </c>
      <c r="Q471">
        <v>2</v>
      </c>
      <c r="R471" t="s">
        <v>48</v>
      </c>
      <c r="S471">
        <v>2028</v>
      </c>
      <c r="T471">
        <v>13637</v>
      </c>
      <c r="U471">
        <v>1</v>
      </c>
      <c r="V471" t="s">
        <v>42</v>
      </c>
      <c r="W471" t="s">
        <v>43</v>
      </c>
      <c r="X471">
        <v>18</v>
      </c>
      <c r="Y471">
        <v>3</v>
      </c>
      <c r="Z471">
        <v>4</v>
      </c>
      <c r="AA471">
        <v>80</v>
      </c>
      <c r="AB471">
        <v>3</v>
      </c>
      <c r="AC471">
        <v>14</v>
      </c>
      <c r="AD471">
        <v>6</v>
      </c>
      <c r="AE471">
        <v>3</v>
      </c>
      <c r="AF471">
        <v>14</v>
      </c>
      <c r="AG471">
        <v>11</v>
      </c>
      <c r="AH471">
        <v>2</v>
      </c>
      <c r="AI471">
        <v>13</v>
      </c>
    </row>
    <row r="472" spans="1:35" x14ac:dyDescent="0.35">
      <c r="A472">
        <v>60</v>
      </c>
      <c r="B472" t="s">
        <v>43</v>
      </c>
      <c r="C472" t="s">
        <v>36</v>
      </c>
      <c r="D472">
        <v>370</v>
      </c>
      <c r="E472" t="s">
        <v>45</v>
      </c>
      <c r="F472">
        <v>1</v>
      </c>
      <c r="G472">
        <v>4</v>
      </c>
      <c r="H472" t="s">
        <v>51</v>
      </c>
      <c r="I472">
        <v>1</v>
      </c>
      <c r="J472">
        <v>1697</v>
      </c>
      <c r="K472">
        <v>3</v>
      </c>
      <c r="L472" t="s">
        <v>46</v>
      </c>
      <c r="M472">
        <v>92</v>
      </c>
      <c r="N472">
        <v>1</v>
      </c>
      <c r="O472">
        <v>3</v>
      </c>
      <c r="P472" t="s">
        <v>54</v>
      </c>
      <c r="Q472">
        <v>4</v>
      </c>
      <c r="R472" t="s">
        <v>52</v>
      </c>
      <c r="S472">
        <v>10883</v>
      </c>
      <c r="T472">
        <v>20467</v>
      </c>
      <c r="U472">
        <v>3</v>
      </c>
      <c r="V472" t="s">
        <v>42</v>
      </c>
      <c r="W472" t="s">
        <v>43</v>
      </c>
      <c r="X472">
        <v>20</v>
      </c>
      <c r="Y472">
        <v>4</v>
      </c>
      <c r="Z472">
        <v>3</v>
      </c>
      <c r="AA472">
        <v>80</v>
      </c>
      <c r="AB472">
        <v>1</v>
      </c>
      <c r="AC472">
        <v>19</v>
      </c>
      <c r="AD472">
        <v>2</v>
      </c>
      <c r="AE472">
        <v>4</v>
      </c>
      <c r="AF472">
        <v>1</v>
      </c>
      <c r="AG472">
        <v>0</v>
      </c>
      <c r="AH472">
        <v>0</v>
      </c>
      <c r="AI472">
        <v>0</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34</v>
      </c>
      <c r="B477" t="s">
        <v>43</v>
      </c>
      <c r="C477" t="s">
        <v>36</v>
      </c>
      <c r="D477">
        <v>1157</v>
      </c>
      <c r="E477" t="s">
        <v>45</v>
      </c>
      <c r="F477">
        <v>5</v>
      </c>
      <c r="G477">
        <v>2</v>
      </c>
      <c r="H477" t="s">
        <v>51</v>
      </c>
      <c r="I477">
        <v>1</v>
      </c>
      <c r="J477">
        <v>1696</v>
      </c>
      <c r="K477">
        <v>2</v>
      </c>
      <c r="L477" t="s">
        <v>46</v>
      </c>
      <c r="M477">
        <v>57</v>
      </c>
      <c r="N477">
        <v>2</v>
      </c>
      <c r="O477">
        <v>2</v>
      </c>
      <c r="P477" t="s">
        <v>50</v>
      </c>
      <c r="Q477">
        <v>4</v>
      </c>
      <c r="R477" t="s">
        <v>48</v>
      </c>
      <c r="S477">
        <v>3986</v>
      </c>
      <c r="T477">
        <v>11912</v>
      </c>
      <c r="U477">
        <v>1</v>
      </c>
      <c r="V477" t="s">
        <v>42</v>
      </c>
      <c r="W477" t="s">
        <v>43</v>
      </c>
      <c r="X477">
        <v>14</v>
      </c>
      <c r="Y477">
        <v>3</v>
      </c>
      <c r="Z477">
        <v>3</v>
      </c>
      <c r="AA477">
        <v>80</v>
      </c>
      <c r="AB477">
        <v>1</v>
      </c>
      <c r="AC477">
        <v>15</v>
      </c>
      <c r="AD477">
        <v>3</v>
      </c>
      <c r="AE477">
        <v>4</v>
      </c>
      <c r="AF477">
        <v>15</v>
      </c>
      <c r="AG477">
        <v>10</v>
      </c>
      <c r="AH477">
        <v>4</v>
      </c>
      <c r="AI477">
        <v>13</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55</v>
      </c>
      <c r="B479" t="s">
        <v>43</v>
      </c>
      <c r="C479" t="s">
        <v>36</v>
      </c>
      <c r="D479">
        <v>1441</v>
      </c>
      <c r="E479" t="s">
        <v>45</v>
      </c>
      <c r="F479">
        <v>22</v>
      </c>
      <c r="G479">
        <v>3</v>
      </c>
      <c r="H479" t="s">
        <v>60</v>
      </c>
      <c r="I479">
        <v>1</v>
      </c>
      <c r="J479">
        <v>1694</v>
      </c>
      <c r="K479">
        <v>1</v>
      </c>
      <c r="L479" t="s">
        <v>46</v>
      </c>
      <c r="M479">
        <v>94</v>
      </c>
      <c r="N479">
        <v>2</v>
      </c>
      <c r="O479">
        <v>1</v>
      </c>
      <c r="P479" t="s">
        <v>47</v>
      </c>
      <c r="Q479">
        <v>2</v>
      </c>
      <c r="R479" t="s">
        <v>52</v>
      </c>
      <c r="S479">
        <v>3537</v>
      </c>
      <c r="T479">
        <v>23737</v>
      </c>
      <c r="U479">
        <v>5</v>
      </c>
      <c r="V479" t="s">
        <v>42</v>
      </c>
      <c r="W479" t="s">
        <v>43</v>
      </c>
      <c r="X479">
        <v>12</v>
      </c>
      <c r="Y479">
        <v>3</v>
      </c>
      <c r="Z479">
        <v>4</v>
      </c>
      <c r="AA479">
        <v>80</v>
      </c>
      <c r="AB479">
        <v>1</v>
      </c>
      <c r="AC479">
        <v>8</v>
      </c>
      <c r="AD479">
        <v>1</v>
      </c>
      <c r="AE479">
        <v>3</v>
      </c>
      <c r="AF479">
        <v>4</v>
      </c>
      <c r="AG479">
        <v>2</v>
      </c>
      <c r="AH479">
        <v>1</v>
      </c>
      <c r="AI479">
        <v>2</v>
      </c>
    </row>
    <row r="480" spans="1:35" x14ac:dyDescent="0.35">
      <c r="A480">
        <v>26</v>
      </c>
      <c r="B480" t="s">
        <v>43</v>
      </c>
      <c r="C480" t="s">
        <v>55</v>
      </c>
      <c r="D480">
        <v>786</v>
      </c>
      <c r="E480" t="s">
        <v>45</v>
      </c>
      <c r="F480">
        <v>7</v>
      </c>
      <c r="G480">
        <v>3</v>
      </c>
      <c r="H480" t="s">
        <v>51</v>
      </c>
      <c r="I480">
        <v>1</v>
      </c>
      <c r="J480">
        <v>1693</v>
      </c>
      <c r="K480">
        <v>4</v>
      </c>
      <c r="L480" t="s">
        <v>46</v>
      </c>
      <c r="M480">
        <v>76</v>
      </c>
      <c r="N480">
        <v>3</v>
      </c>
      <c r="O480">
        <v>1</v>
      </c>
      <c r="P480" t="s">
        <v>50</v>
      </c>
      <c r="Q480">
        <v>4</v>
      </c>
      <c r="R480" t="s">
        <v>41</v>
      </c>
      <c r="S480">
        <v>2570</v>
      </c>
      <c r="T480">
        <v>11925</v>
      </c>
      <c r="U480">
        <v>1</v>
      </c>
      <c r="V480" t="s">
        <v>42</v>
      </c>
      <c r="W480" t="s">
        <v>43</v>
      </c>
      <c r="X480">
        <v>20</v>
      </c>
      <c r="Y480">
        <v>4</v>
      </c>
      <c r="Z480">
        <v>3</v>
      </c>
      <c r="AA480">
        <v>80</v>
      </c>
      <c r="AB480">
        <v>0</v>
      </c>
      <c r="AC480">
        <v>7</v>
      </c>
      <c r="AD480">
        <v>5</v>
      </c>
      <c r="AE480">
        <v>3</v>
      </c>
      <c r="AF480">
        <v>7</v>
      </c>
      <c r="AG480">
        <v>7</v>
      </c>
      <c r="AH480">
        <v>5</v>
      </c>
      <c r="AI480">
        <v>7</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32</v>
      </c>
      <c r="B482" t="s">
        <v>35</v>
      </c>
      <c r="C482" t="s">
        <v>36</v>
      </c>
      <c r="D482">
        <v>1259</v>
      </c>
      <c r="E482" t="s">
        <v>45</v>
      </c>
      <c r="F482">
        <v>2</v>
      </c>
      <c r="G482">
        <v>4</v>
      </c>
      <c r="H482" t="s">
        <v>38</v>
      </c>
      <c r="I482">
        <v>1</v>
      </c>
      <c r="J482">
        <v>1692</v>
      </c>
      <c r="K482">
        <v>4</v>
      </c>
      <c r="L482" t="s">
        <v>46</v>
      </c>
      <c r="M482">
        <v>95</v>
      </c>
      <c r="N482">
        <v>3</v>
      </c>
      <c r="O482">
        <v>1</v>
      </c>
      <c r="P482" t="s">
        <v>50</v>
      </c>
      <c r="Q482">
        <v>2</v>
      </c>
      <c r="R482" t="s">
        <v>41</v>
      </c>
      <c r="S482">
        <v>1393</v>
      </c>
      <c r="T482">
        <v>24852</v>
      </c>
      <c r="U482">
        <v>1</v>
      </c>
      <c r="V482" t="s">
        <v>42</v>
      </c>
      <c r="W482" t="s">
        <v>43</v>
      </c>
      <c r="X482">
        <v>12</v>
      </c>
      <c r="Y482">
        <v>3</v>
      </c>
      <c r="Z482">
        <v>1</v>
      </c>
      <c r="AA482">
        <v>80</v>
      </c>
      <c r="AB482">
        <v>0</v>
      </c>
      <c r="AC482">
        <v>1</v>
      </c>
      <c r="AD482">
        <v>2</v>
      </c>
      <c r="AE482">
        <v>3</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53</v>
      </c>
      <c r="B484" t="s">
        <v>43</v>
      </c>
      <c r="C484" t="s">
        <v>36</v>
      </c>
      <c r="D484">
        <v>1395</v>
      </c>
      <c r="E484" t="s">
        <v>45</v>
      </c>
      <c r="F484">
        <v>24</v>
      </c>
      <c r="G484">
        <v>4</v>
      </c>
      <c r="H484" t="s">
        <v>51</v>
      </c>
      <c r="I484">
        <v>1</v>
      </c>
      <c r="J484">
        <v>1689</v>
      </c>
      <c r="K484">
        <v>2</v>
      </c>
      <c r="L484" t="s">
        <v>46</v>
      </c>
      <c r="M484">
        <v>48</v>
      </c>
      <c r="N484">
        <v>4</v>
      </c>
      <c r="O484">
        <v>3</v>
      </c>
      <c r="P484" t="s">
        <v>54</v>
      </c>
      <c r="Q484">
        <v>4</v>
      </c>
      <c r="R484" t="s">
        <v>48</v>
      </c>
      <c r="S484">
        <v>7005</v>
      </c>
      <c r="T484">
        <v>3458</v>
      </c>
      <c r="U484">
        <v>3</v>
      </c>
      <c r="V484" t="s">
        <v>42</v>
      </c>
      <c r="W484" t="s">
        <v>43</v>
      </c>
      <c r="X484">
        <v>15</v>
      </c>
      <c r="Y484">
        <v>3</v>
      </c>
      <c r="Z484">
        <v>3</v>
      </c>
      <c r="AA484">
        <v>80</v>
      </c>
      <c r="AB484">
        <v>0</v>
      </c>
      <c r="AC484">
        <v>11</v>
      </c>
      <c r="AD484">
        <v>2</v>
      </c>
      <c r="AE484">
        <v>3</v>
      </c>
      <c r="AF484">
        <v>4</v>
      </c>
      <c r="AG484">
        <v>3</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38</v>
      </c>
      <c r="B486" t="s">
        <v>43</v>
      </c>
      <c r="C486" t="s">
        <v>36</v>
      </c>
      <c r="D486">
        <v>1495</v>
      </c>
      <c r="E486" t="s">
        <v>45</v>
      </c>
      <c r="F486">
        <v>4</v>
      </c>
      <c r="G486">
        <v>2</v>
      </c>
      <c r="H486" t="s">
        <v>51</v>
      </c>
      <c r="I486">
        <v>1</v>
      </c>
      <c r="J486">
        <v>1687</v>
      </c>
      <c r="K486">
        <v>4</v>
      </c>
      <c r="L486" t="s">
        <v>39</v>
      </c>
      <c r="M486">
        <v>87</v>
      </c>
      <c r="N486">
        <v>3</v>
      </c>
      <c r="O486">
        <v>1</v>
      </c>
      <c r="P486" t="s">
        <v>50</v>
      </c>
      <c r="Q486">
        <v>3</v>
      </c>
      <c r="R486" t="s">
        <v>48</v>
      </c>
      <c r="S486">
        <v>3306</v>
      </c>
      <c r="T486">
        <v>26176</v>
      </c>
      <c r="U486">
        <v>7</v>
      </c>
      <c r="V486" t="s">
        <v>42</v>
      </c>
      <c r="W486" t="s">
        <v>43</v>
      </c>
      <c r="X486">
        <v>19</v>
      </c>
      <c r="Y486">
        <v>3</v>
      </c>
      <c r="Z486">
        <v>4</v>
      </c>
      <c r="AA486">
        <v>80</v>
      </c>
      <c r="AB486">
        <v>1</v>
      </c>
      <c r="AC486">
        <v>7</v>
      </c>
      <c r="AD486">
        <v>5</v>
      </c>
      <c r="AE486">
        <v>2</v>
      </c>
      <c r="AF486">
        <v>0</v>
      </c>
      <c r="AG486">
        <v>0</v>
      </c>
      <c r="AH486">
        <v>0</v>
      </c>
      <c r="AI486">
        <v>0</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23</v>
      </c>
      <c r="B488" t="s">
        <v>35</v>
      </c>
      <c r="C488" t="s">
        <v>36</v>
      </c>
      <c r="D488">
        <v>1320</v>
      </c>
      <c r="E488" t="s">
        <v>45</v>
      </c>
      <c r="F488">
        <v>8</v>
      </c>
      <c r="G488">
        <v>1</v>
      </c>
      <c r="H488" t="s">
        <v>51</v>
      </c>
      <c r="I488">
        <v>1</v>
      </c>
      <c r="J488">
        <v>1684</v>
      </c>
      <c r="K488">
        <v>4</v>
      </c>
      <c r="L488" t="s">
        <v>46</v>
      </c>
      <c r="M488">
        <v>93</v>
      </c>
      <c r="N488">
        <v>2</v>
      </c>
      <c r="O488">
        <v>1</v>
      </c>
      <c r="P488" t="s">
        <v>50</v>
      </c>
      <c r="Q488">
        <v>3</v>
      </c>
      <c r="R488" t="s">
        <v>41</v>
      </c>
      <c r="S488">
        <v>3989</v>
      </c>
      <c r="T488">
        <v>20586</v>
      </c>
      <c r="U488">
        <v>1</v>
      </c>
      <c r="V488" t="s">
        <v>42</v>
      </c>
      <c r="W488" t="s">
        <v>35</v>
      </c>
      <c r="X488">
        <v>11</v>
      </c>
      <c r="Y488">
        <v>3</v>
      </c>
      <c r="Z488">
        <v>1</v>
      </c>
      <c r="AA488">
        <v>80</v>
      </c>
      <c r="AB488">
        <v>0</v>
      </c>
      <c r="AC488">
        <v>5</v>
      </c>
      <c r="AD488">
        <v>2</v>
      </c>
      <c r="AE488">
        <v>3</v>
      </c>
      <c r="AF488">
        <v>5</v>
      </c>
      <c r="AG488">
        <v>4</v>
      </c>
      <c r="AH488">
        <v>1</v>
      </c>
      <c r="AI488">
        <v>2</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36</v>
      </c>
      <c r="B495" t="s">
        <v>43</v>
      </c>
      <c r="C495" t="s">
        <v>36</v>
      </c>
      <c r="D495">
        <v>1351</v>
      </c>
      <c r="E495" t="s">
        <v>45</v>
      </c>
      <c r="F495">
        <v>26</v>
      </c>
      <c r="G495">
        <v>4</v>
      </c>
      <c r="H495" t="s">
        <v>38</v>
      </c>
      <c r="I495">
        <v>1</v>
      </c>
      <c r="J495">
        <v>1682</v>
      </c>
      <c r="K495">
        <v>1</v>
      </c>
      <c r="L495" t="s">
        <v>46</v>
      </c>
      <c r="M495">
        <v>80</v>
      </c>
      <c r="N495">
        <v>3</v>
      </c>
      <c r="O495">
        <v>2</v>
      </c>
      <c r="P495" t="s">
        <v>54</v>
      </c>
      <c r="Q495">
        <v>3</v>
      </c>
      <c r="R495" t="s">
        <v>48</v>
      </c>
      <c r="S495">
        <v>5347</v>
      </c>
      <c r="T495">
        <v>7419</v>
      </c>
      <c r="U495">
        <v>6</v>
      </c>
      <c r="V495" t="s">
        <v>42</v>
      </c>
      <c r="W495" t="s">
        <v>43</v>
      </c>
      <c r="X495">
        <v>14</v>
      </c>
      <c r="Y495">
        <v>3</v>
      </c>
      <c r="Z495">
        <v>2</v>
      </c>
      <c r="AA495">
        <v>80</v>
      </c>
      <c r="AB495">
        <v>2</v>
      </c>
      <c r="AC495">
        <v>10</v>
      </c>
      <c r="AD495">
        <v>2</v>
      </c>
      <c r="AE495">
        <v>2</v>
      </c>
      <c r="AF495">
        <v>3</v>
      </c>
      <c r="AG495">
        <v>2</v>
      </c>
      <c r="AH495">
        <v>0</v>
      </c>
      <c r="AI495">
        <v>2</v>
      </c>
    </row>
    <row r="496" spans="1:35" x14ac:dyDescent="0.35">
      <c r="A496">
        <v>49</v>
      </c>
      <c r="B496" t="s">
        <v>43</v>
      </c>
      <c r="C496" t="s">
        <v>36</v>
      </c>
      <c r="D496">
        <v>809</v>
      </c>
      <c r="E496" t="s">
        <v>45</v>
      </c>
      <c r="F496">
        <v>1</v>
      </c>
      <c r="G496">
        <v>3</v>
      </c>
      <c r="H496" t="s">
        <v>38</v>
      </c>
      <c r="I496">
        <v>1</v>
      </c>
      <c r="J496">
        <v>1677</v>
      </c>
      <c r="K496">
        <v>3</v>
      </c>
      <c r="L496" t="s">
        <v>46</v>
      </c>
      <c r="M496">
        <v>36</v>
      </c>
      <c r="N496">
        <v>3</v>
      </c>
      <c r="O496">
        <v>4</v>
      </c>
      <c r="P496" t="s">
        <v>56</v>
      </c>
      <c r="Q496">
        <v>3</v>
      </c>
      <c r="R496" t="s">
        <v>41</v>
      </c>
      <c r="S496">
        <v>15379</v>
      </c>
      <c r="T496">
        <v>22384</v>
      </c>
      <c r="U496">
        <v>4</v>
      </c>
      <c r="V496" t="s">
        <v>42</v>
      </c>
      <c r="W496" t="s">
        <v>43</v>
      </c>
      <c r="X496">
        <v>14</v>
      </c>
      <c r="Y496">
        <v>3</v>
      </c>
      <c r="Z496">
        <v>1</v>
      </c>
      <c r="AA496">
        <v>80</v>
      </c>
      <c r="AB496">
        <v>0</v>
      </c>
      <c r="AC496">
        <v>23</v>
      </c>
      <c r="AD496">
        <v>2</v>
      </c>
      <c r="AE496">
        <v>3</v>
      </c>
      <c r="AF496">
        <v>8</v>
      </c>
      <c r="AG496">
        <v>7</v>
      </c>
      <c r="AH496">
        <v>0</v>
      </c>
      <c r="AI496">
        <v>0</v>
      </c>
    </row>
    <row r="497" spans="1:35" x14ac:dyDescent="0.35">
      <c r="A497">
        <v>38</v>
      </c>
      <c r="B497" t="s">
        <v>43</v>
      </c>
      <c r="C497" t="s">
        <v>44</v>
      </c>
      <c r="D497">
        <v>148</v>
      </c>
      <c r="E497" t="s">
        <v>45</v>
      </c>
      <c r="F497">
        <v>2</v>
      </c>
      <c r="G497">
        <v>3</v>
      </c>
      <c r="H497" t="s">
        <v>51</v>
      </c>
      <c r="I497">
        <v>1</v>
      </c>
      <c r="J497">
        <v>1675</v>
      </c>
      <c r="K497">
        <v>4</v>
      </c>
      <c r="L497" t="s">
        <v>39</v>
      </c>
      <c r="M497">
        <v>42</v>
      </c>
      <c r="N497">
        <v>2</v>
      </c>
      <c r="O497">
        <v>1</v>
      </c>
      <c r="P497" t="s">
        <v>50</v>
      </c>
      <c r="Q497">
        <v>2</v>
      </c>
      <c r="R497" t="s">
        <v>41</v>
      </c>
      <c r="S497">
        <v>2440</v>
      </c>
      <c r="T497">
        <v>23826</v>
      </c>
      <c r="U497">
        <v>1</v>
      </c>
      <c r="V497" t="s">
        <v>42</v>
      </c>
      <c r="W497" t="s">
        <v>43</v>
      </c>
      <c r="X497">
        <v>22</v>
      </c>
      <c r="Y497">
        <v>4</v>
      </c>
      <c r="Z497">
        <v>2</v>
      </c>
      <c r="AA497">
        <v>80</v>
      </c>
      <c r="AB497">
        <v>0</v>
      </c>
      <c r="AC497">
        <v>4</v>
      </c>
      <c r="AD497">
        <v>3</v>
      </c>
      <c r="AE497">
        <v>3</v>
      </c>
      <c r="AF497">
        <v>4</v>
      </c>
      <c r="AG497">
        <v>3</v>
      </c>
      <c r="AH497">
        <v>3</v>
      </c>
      <c r="AI497">
        <v>3</v>
      </c>
    </row>
    <row r="498" spans="1:35" x14ac:dyDescent="0.35">
      <c r="A498">
        <v>49</v>
      </c>
      <c r="B498" t="s">
        <v>43</v>
      </c>
      <c r="C498" t="s">
        <v>36</v>
      </c>
      <c r="D498">
        <v>464</v>
      </c>
      <c r="E498" t="s">
        <v>45</v>
      </c>
      <c r="F498">
        <v>16</v>
      </c>
      <c r="G498">
        <v>3</v>
      </c>
      <c r="H498" t="s">
        <v>51</v>
      </c>
      <c r="I498">
        <v>1</v>
      </c>
      <c r="J498">
        <v>1674</v>
      </c>
      <c r="K498">
        <v>4</v>
      </c>
      <c r="L498" t="s">
        <v>39</v>
      </c>
      <c r="M498">
        <v>74</v>
      </c>
      <c r="N498">
        <v>3</v>
      </c>
      <c r="O498">
        <v>1</v>
      </c>
      <c r="P498" t="s">
        <v>50</v>
      </c>
      <c r="Q498">
        <v>1</v>
      </c>
      <c r="R498" t="s">
        <v>52</v>
      </c>
      <c r="S498">
        <v>2587</v>
      </c>
      <c r="T498">
        <v>24941</v>
      </c>
      <c r="U498">
        <v>4</v>
      </c>
      <c r="V498" t="s">
        <v>42</v>
      </c>
      <c r="W498" t="s">
        <v>35</v>
      </c>
      <c r="X498">
        <v>16</v>
      </c>
      <c r="Y498">
        <v>3</v>
      </c>
      <c r="Z498">
        <v>2</v>
      </c>
      <c r="AA498">
        <v>80</v>
      </c>
      <c r="AB498">
        <v>1</v>
      </c>
      <c r="AC498">
        <v>17</v>
      </c>
      <c r="AD498">
        <v>2</v>
      </c>
      <c r="AE498">
        <v>2</v>
      </c>
      <c r="AF498">
        <v>2</v>
      </c>
      <c r="AG498">
        <v>2</v>
      </c>
      <c r="AH498">
        <v>2</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32</v>
      </c>
      <c r="B501" t="s">
        <v>43</v>
      </c>
      <c r="C501" t="s">
        <v>36</v>
      </c>
      <c r="D501">
        <v>977</v>
      </c>
      <c r="E501" t="s">
        <v>45</v>
      </c>
      <c r="F501">
        <v>2</v>
      </c>
      <c r="G501">
        <v>3</v>
      </c>
      <c r="H501" t="s">
        <v>51</v>
      </c>
      <c r="I501">
        <v>1</v>
      </c>
      <c r="J501">
        <v>1671</v>
      </c>
      <c r="K501">
        <v>4</v>
      </c>
      <c r="L501" t="s">
        <v>46</v>
      </c>
      <c r="M501">
        <v>45</v>
      </c>
      <c r="N501">
        <v>3</v>
      </c>
      <c r="O501">
        <v>2</v>
      </c>
      <c r="P501" t="s">
        <v>47</v>
      </c>
      <c r="Q501">
        <v>2</v>
      </c>
      <c r="R501" t="s">
        <v>52</v>
      </c>
      <c r="S501">
        <v>5470</v>
      </c>
      <c r="T501">
        <v>25518</v>
      </c>
      <c r="U501">
        <v>0</v>
      </c>
      <c r="V501" t="s">
        <v>42</v>
      </c>
      <c r="W501" t="s">
        <v>43</v>
      </c>
      <c r="X501">
        <v>13</v>
      </c>
      <c r="Y501">
        <v>3</v>
      </c>
      <c r="Z501">
        <v>3</v>
      </c>
      <c r="AA501">
        <v>80</v>
      </c>
      <c r="AB501">
        <v>2</v>
      </c>
      <c r="AC501">
        <v>10</v>
      </c>
      <c r="AD501">
        <v>4</v>
      </c>
      <c r="AE501">
        <v>2</v>
      </c>
      <c r="AF501">
        <v>9</v>
      </c>
      <c r="AG501">
        <v>5</v>
      </c>
      <c r="AH501">
        <v>1</v>
      </c>
      <c r="AI501">
        <v>6</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38</v>
      </c>
      <c r="B504" t="s">
        <v>43</v>
      </c>
      <c r="C504" t="s">
        <v>44</v>
      </c>
      <c r="D504">
        <v>1189</v>
      </c>
      <c r="E504" t="s">
        <v>45</v>
      </c>
      <c r="F504">
        <v>1</v>
      </c>
      <c r="G504">
        <v>3</v>
      </c>
      <c r="H504" t="s">
        <v>38</v>
      </c>
      <c r="I504">
        <v>1</v>
      </c>
      <c r="J504">
        <v>1668</v>
      </c>
      <c r="K504">
        <v>4</v>
      </c>
      <c r="L504" t="s">
        <v>46</v>
      </c>
      <c r="M504">
        <v>90</v>
      </c>
      <c r="N504">
        <v>3</v>
      </c>
      <c r="O504">
        <v>2</v>
      </c>
      <c r="P504" t="s">
        <v>47</v>
      </c>
      <c r="Q504">
        <v>4</v>
      </c>
      <c r="R504" t="s">
        <v>48</v>
      </c>
      <c r="S504">
        <v>4735</v>
      </c>
      <c r="T504">
        <v>9867</v>
      </c>
      <c r="U504">
        <v>7</v>
      </c>
      <c r="V504" t="s">
        <v>42</v>
      </c>
      <c r="W504" t="s">
        <v>43</v>
      </c>
      <c r="X504">
        <v>15</v>
      </c>
      <c r="Y504">
        <v>3</v>
      </c>
      <c r="Z504">
        <v>4</v>
      </c>
      <c r="AA504">
        <v>80</v>
      </c>
      <c r="AB504">
        <v>2</v>
      </c>
      <c r="AC504">
        <v>19</v>
      </c>
      <c r="AD504">
        <v>4</v>
      </c>
      <c r="AE504">
        <v>4</v>
      </c>
      <c r="AF504">
        <v>13</v>
      </c>
      <c r="AG504">
        <v>11</v>
      </c>
      <c r="AH504">
        <v>2</v>
      </c>
      <c r="AI504">
        <v>9</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43</v>
      </c>
      <c r="B506" t="s">
        <v>43</v>
      </c>
      <c r="C506" t="s">
        <v>36</v>
      </c>
      <c r="D506">
        <v>1291</v>
      </c>
      <c r="E506" t="s">
        <v>45</v>
      </c>
      <c r="F506">
        <v>15</v>
      </c>
      <c r="G506">
        <v>2</v>
      </c>
      <c r="H506" t="s">
        <v>38</v>
      </c>
      <c r="I506">
        <v>1</v>
      </c>
      <c r="J506">
        <v>1666</v>
      </c>
      <c r="K506">
        <v>3</v>
      </c>
      <c r="L506" t="s">
        <v>46</v>
      </c>
      <c r="M506">
        <v>65</v>
      </c>
      <c r="N506">
        <v>2</v>
      </c>
      <c r="O506">
        <v>4</v>
      </c>
      <c r="P506" t="s">
        <v>58</v>
      </c>
      <c r="Q506">
        <v>3</v>
      </c>
      <c r="R506" t="s">
        <v>48</v>
      </c>
      <c r="S506">
        <v>17603</v>
      </c>
      <c r="T506">
        <v>3525</v>
      </c>
      <c r="U506">
        <v>1</v>
      </c>
      <c r="V506" t="s">
        <v>42</v>
      </c>
      <c r="W506" t="s">
        <v>43</v>
      </c>
      <c r="X506">
        <v>24</v>
      </c>
      <c r="Y506">
        <v>4</v>
      </c>
      <c r="Z506">
        <v>1</v>
      </c>
      <c r="AA506">
        <v>80</v>
      </c>
      <c r="AB506">
        <v>1</v>
      </c>
      <c r="AC506">
        <v>14</v>
      </c>
      <c r="AD506">
        <v>3</v>
      </c>
      <c r="AE506">
        <v>3</v>
      </c>
      <c r="AF506">
        <v>14</v>
      </c>
      <c r="AG506">
        <v>10</v>
      </c>
      <c r="AH506">
        <v>6</v>
      </c>
      <c r="AI506">
        <v>11</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54</v>
      </c>
      <c r="B509" t="s">
        <v>43</v>
      </c>
      <c r="C509" t="s">
        <v>36</v>
      </c>
      <c r="D509">
        <v>584</v>
      </c>
      <c r="E509" t="s">
        <v>45</v>
      </c>
      <c r="F509">
        <v>22</v>
      </c>
      <c r="G509">
        <v>5</v>
      </c>
      <c r="H509" t="s">
        <v>51</v>
      </c>
      <c r="I509">
        <v>1</v>
      </c>
      <c r="J509">
        <v>1665</v>
      </c>
      <c r="K509">
        <v>2</v>
      </c>
      <c r="L509" t="s">
        <v>39</v>
      </c>
      <c r="M509">
        <v>91</v>
      </c>
      <c r="N509">
        <v>3</v>
      </c>
      <c r="O509">
        <v>4</v>
      </c>
      <c r="P509" t="s">
        <v>56</v>
      </c>
      <c r="Q509">
        <v>3</v>
      </c>
      <c r="R509" t="s">
        <v>48</v>
      </c>
      <c r="S509">
        <v>17426</v>
      </c>
      <c r="T509">
        <v>18685</v>
      </c>
      <c r="U509">
        <v>3</v>
      </c>
      <c r="V509" t="s">
        <v>42</v>
      </c>
      <c r="W509" t="s">
        <v>43</v>
      </c>
      <c r="X509">
        <v>25</v>
      </c>
      <c r="Y509">
        <v>4</v>
      </c>
      <c r="Z509">
        <v>3</v>
      </c>
      <c r="AA509">
        <v>80</v>
      </c>
      <c r="AB509">
        <v>1</v>
      </c>
      <c r="AC509">
        <v>36</v>
      </c>
      <c r="AD509">
        <v>6</v>
      </c>
      <c r="AE509">
        <v>3</v>
      </c>
      <c r="AF509">
        <v>10</v>
      </c>
      <c r="AG509">
        <v>8</v>
      </c>
      <c r="AH509">
        <v>4</v>
      </c>
      <c r="AI509">
        <v>7</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36</v>
      </c>
      <c r="B512" t="s">
        <v>43</v>
      </c>
      <c r="C512" t="s">
        <v>36</v>
      </c>
      <c r="D512">
        <v>1040</v>
      </c>
      <c r="E512" t="s">
        <v>45</v>
      </c>
      <c r="F512">
        <v>3</v>
      </c>
      <c r="G512">
        <v>2</v>
      </c>
      <c r="H512" t="s">
        <v>38</v>
      </c>
      <c r="I512">
        <v>1</v>
      </c>
      <c r="J512">
        <v>1664</v>
      </c>
      <c r="K512">
        <v>4</v>
      </c>
      <c r="L512" t="s">
        <v>46</v>
      </c>
      <c r="M512">
        <v>79</v>
      </c>
      <c r="N512">
        <v>4</v>
      </c>
      <c r="O512">
        <v>2</v>
      </c>
      <c r="P512" t="s">
        <v>54</v>
      </c>
      <c r="Q512">
        <v>1</v>
      </c>
      <c r="R512" t="s">
        <v>52</v>
      </c>
      <c r="S512">
        <v>6842</v>
      </c>
      <c r="T512">
        <v>26308</v>
      </c>
      <c r="U512">
        <v>6</v>
      </c>
      <c r="V512" t="s">
        <v>42</v>
      </c>
      <c r="W512" t="s">
        <v>43</v>
      </c>
      <c r="X512">
        <v>20</v>
      </c>
      <c r="Y512">
        <v>4</v>
      </c>
      <c r="Z512">
        <v>1</v>
      </c>
      <c r="AA512">
        <v>80</v>
      </c>
      <c r="AB512">
        <v>1</v>
      </c>
      <c r="AC512">
        <v>13</v>
      </c>
      <c r="AD512">
        <v>3</v>
      </c>
      <c r="AE512">
        <v>3</v>
      </c>
      <c r="AF512">
        <v>5</v>
      </c>
      <c r="AG512">
        <v>4</v>
      </c>
      <c r="AH512">
        <v>0</v>
      </c>
      <c r="AI512">
        <v>4</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36</v>
      </c>
      <c r="B519" t="s">
        <v>43</v>
      </c>
      <c r="C519" t="s">
        <v>55</v>
      </c>
      <c r="D519">
        <v>894</v>
      </c>
      <c r="E519" t="s">
        <v>45</v>
      </c>
      <c r="F519">
        <v>1</v>
      </c>
      <c r="G519">
        <v>4</v>
      </c>
      <c r="H519" t="s">
        <v>51</v>
      </c>
      <c r="I519">
        <v>1</v>
      </c>
      <c r="J519">
        <v>1662</v>
      </c>
      <c r="K519">
        <v>4</v>
      </c>
      <c r="L519" t="s">
        <v>39</v>
      </c>
      <c r="M519">
        <v>33</v>
      </c>
      <c r="N519">
        <v>2</v>
      </c>
      <c r="O519">
        <v>2</v>
      </c>
      <c r="P519" t="s">
        <v>53</v>
      </c>
      <c r="Q519">
        <v>3</v>
      </c>
      <c r="R519" t="s">
        <v>48</v>
      </c>
      <c r="S519">
        <v>4374</v>
      </c>
      <c r="T519">
        <v>15411</v>
      </c>
      <c r="U519">
        <v>0</v>
      </c>
      <c r="V519" t="s">
        <v>42</v>
      </c>
      <c r="W519" t="s">
        <v>43</v>
      </c>
      <c r="X519">
        <v>15</v>
      </c>
      <c r="Y519">
        <v>3</v>
      </c>
      <c r="Z519">
        <v>3</v>
      </c>
      <c r="AA519">
        <v>80</v>
      </c>
      <c r="AB519">
        <v>0</v>
      </c>
      <c r="AC519">
        <v>4</v>
      </c>
      <c r="AD519">
        <v>6</v>
      </c>
      <c r="AE519">
        <v>3</v>
      </c>
      <c r="AF519">
        <v>3</v>
      </c>
      <c r="AG519">
        <v>2</v>
      </c>
      <c r="AH519">
        <v>1</v>
      </c>
      <c r="AI519">
        <v>2</v>
      </c>
    </row>
    <row r="520" spans="1:35" x14ac:dyDescent="0.35">
      <c r="A520">
        <v>49</v>
      </c>
      <c r="B520" t="s">
        <v>43</v>
      </c>
      <c r="C520" t="s">
        <v>36</v>
      </c>
      <c r="D520">
        <v>465</v>
      </c>
      <c r="E520" t="s">
        <v>45</v>
      </c>
      <c r="F520">
        <v>6</v>
      </c>
      <c r="G520">
        <v>1</v>
      </c>
      <c r="H520" t="s">
        <v>38</v>
      </c>
      <c r="I520">
        <v>1</v>
      </c>
      <c r="J520">
        <v>1661</v>
      </c>
      <c r="K520">
        <v>3</v>
      </c>
      <c r="L520" t="s">
        <v>39</v>
      </c>
      <c r="M520">
        <v>41</v>
      </c>
      <c r="N520">
        <v>2</v>
      </c>
      <c r="O520">
        <v>4</v>
      </c>
      <c r="P520" t="s">
        <v>54</v>
      </c>
      <c r="Q520">
        <v>3</v>
      </c>
      <c r="R520" t="s">
        <v>48</v>
      </c>
      <c r="S520">
        <v>13966</v>
      </c>
      <c r="T520">
        <v>11652</v>
      </c>
      <c r="U520">
        <v>2</v>
      </c>
      <c r="V520" t="s">
        <v>42</v>
      </c>
      <c r="W520" t="s">
        <v>35</v>
      </c>
      <c r="X520">
        <v>19</v>
      </c>
      <c r="Y520">
        <v>3</v>
      </c>
      <c r="Z520">
        <v>2</v>
      </c>
      <c r="AA520">
        <v>80</v>
      </c>
      <c r="AB520">
        <v>1</v>
      </c>
      <c r="AC520">
        <v>30</v>
      </c>
      <c r="AD520">
        <v>3</v>
      </c>
      <c r="AE520">
        <v>3</v>
      </c>
      <c r="AF520">
        <v>15</v>
      </c>
      <c r="AG520">
        <v>11</v>
      </c>
      <c r="AH520">
        <v>2</v>
      </c>
      <c r="AI520">
        <v>12</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36</v>
      </c>
      <c r="B522" t="s">
        <v>43</v>
      </c>
      <c r="C522" t="s">
        <v>36</v>
      </c>
      <c r="D522">
        <v>311</v>
      </c>
      <c r="E522" t="s">
        <v>45</v>
      </c>
      <c r="F522">
        <v>7</v>
      </c>
      <c r="G522">
        <v>3</v>
      </c>
      <c r="H522" t="s">
        <v>38</v>
      </c>
      <c r="I522">
        <v>1</v>
      </c>
      <c r="J522">
        <v>1659</v>
      </c>
      <c r="K522">
        <v>1</v>
      </c>
      <c r="L522" t="s">
        <v>46</v>
      </c>
      <c r="M522">
        <v>77</v>
      </c>
      <c r="N522">
        <v>3</v>
      </c>
      <c r="O522">
        <v>1</v>
      </c>
      <c r="P522" t="s">
        <v>50</v>
      </c>
      <c r="Q522">
        <v>2</v>
      </c>
      <c r="R522" t="s">
        <v>41</v>
      </c>
      <c r="S522">
        <v>2013</v>
      </c>
      <c r="T522">
        <v>10950</v>
      </c>
      <c r="U522">
        <v>2</v>
      </c>
      <c r="V522" t="s">
        <v>42</v>
      </c>
      <c r="W522" t="s">
        <v>43</v>
      </c>
      <c r="X522">
        <v>11</v>
      </c>
      <c r="Y522">
        <v>3</v>
      </c>
      <c r="Z522">
        <v>3</v>
      </c>
      <c r="AA522">
        <v>80</v>
      </c>
      <c r="AB522">
        <v>0</v>
      </c>
      <c r="AC522">
        <v>15</v>
      </c>
      <c r="AD522">
        <v>4</v>
      </c>
      <c r="AE522">
        <v>3</v>
      </c>
      <c r="AF522">
        <v>4</v>
      </c>
      <c r="AG522">
        <v>3</v>
      </c>
      <c r="AH522">
        <v>1</v>
      </c>
      <c r="AI522">
        <v>3</v>
      </c>
    </row>
    <row r="523" spans="1:35" x14ac:dyDescent="0.35">
      <c r="A523">
        <v>34</v>
      </c>
      <c r="B523" t="s">
        <v>43</v>
      </c>
      <c r="C523" t="s">
        <v>36</v>
      </c>
      <c r="D523">
        <v>1130</v>
      </c>
      <c r="E523" t="s">
        <v>45</v>
      </c>
      <c r="F523">
        <v>3</v>
      </c>
      <c r="G523">
        <v>3</v>
      </c>
      <c r="H523" t="s">
        <v>38</v>
      </c>
      <c r="I523">
        <v>1</v>
      </c>
      <c r="J523">
        <v>1658</v>
      </c>
      <c r="K523">
        <v>4</v>
      </c>
      <c r="L523" t="s">
        <v>39</v>
      </c>
      <c r="M523">
        <v>66</v>
      </c>
      <c r="N523">
        <v>3</v>
      </c>
      <c r="O523">
        <v>2</v>
      </c>
      <c r="P523" t="s">
        <v>47</v>
      </c>
      <c r="Q523">
        <v>2</v>
      </c>
      <c r="R523" t="s">
        <v>52</v>
      </c>
      <c r="S523">
        <v>5433</v>
      </c>
      <c r="T523">
        <v>19332</v>
      </c>
      <c r="U523">
        <v>1</v>
      </c>
      <c r="V523" t="s">
        <v>42</v>
      </c>
      <c r="W523" t="s">
        <v>43</v>
      </c>
      <c r="X523">
        <v>12</v>
      </c>
      <c r="Y523">
        <v>3</v>
      </c>
      <c r="Z523">
        <v>3</v>
      </c>
      <c r="AA523">
        <v>80</v>
      </c>
      <c r="AB523">
        <v>1</v>
      </c>
      <c r="AC523">
        <v>11</v>
      </c>
      <c r="AD523">
        <v>2</v>
      </c>
      <c r="AE523">
        <v>3</v>
      </c>
      <c r="AF523">
        <v>11</v>
      </c>
      <c r="AG523">
        <v>8</v>
      </c>
      <c r="AH523">
        <v>7</v>
      </c>
      <c r="AI523">
        <v>9</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50</v>
      </c>
      <c r="B527" t="s">
        <v>43</v>
      </c>
      <c r="C527" t="s">
        <v>36</v>
      </c>
      <c r="D527">
        <v>813</v>
      </c>
      <c r="E527" t="s">
        <v>45</v>
      </c>
      <c r="F527">
        <v>17</v>
      </c>
      <c r="G527">
        <v>5</v>
      </c>
      <c r="H527" t="s">
        <v>38</v>
      </c>
      <c r="I527">
        <v>1</v>
      </c>
      <c r="J527">
        <v>1656</v>
      </c>
      <c r="K527">
        <v>4</v>
      </c>
      <c r="L527" t="s">
        <v>39</v>
      </c>
      <c r="M527">
        <v>50</v>
      </c>
      <c r="N527">
        <v>2</v>
      </c>
      <c r="O527">
        <v>3</v>
      </c>
      <c r="P527" t="s">
        <v>58</v>
      </c>
      <c r="Q527">
        <v>1</v>
      </c>
      <c r="R527" t="s">
        <v>52</v>
      </c>
      <c r="S527">
        <v>13269</v>
      </c>
      <c r="T527">
        <v>21981</v>
      </c>
      <c r="U527">
        <v>5</v>
      </c>
      <c r="V527" t="s">
        <v>42</v>
      </c>
      <c r="W527" t="s">
        <v>43</v>
      </c>
      <c r="X527">
        <v>15</v>
      </c>
      <c r="Y527">
        <v>3</v>
      </c>
      <c r="Z527">
        <v>3</v>
      </c>
      <c r="AA527">
        <v>80</v>
      </c>
      <c r="AB527">
        <v>3</v>
      </c>
      <c r="AC527">
        <v>19</v>
      </c>
      <c r="AD527">
        <v>3</v>
      </c>
      <c r="AE527">
        <v>3</v>
      </c>
      <c r="AF527">
        <v>14</v>
      </c>
      <c r="AG527">
        <v>11</v>
      </c>
      <c r="AH527">
        <v>1</v>
      </c>
      <c r="AI527">
        <v>11</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49</v>
      </c>
      <c r="B529" t="s">
        <v>43</v>
      </c>
      <c r="C529" t="s">
        <v>36</v>
      </c>
      <c r="D529">
        <v>301</v>
      </c>
      <c r="E529" t="s">
        <v>45</v>
      </c>
      <c r="F529">
        <v>22</v>
      </c>
      <c r="G529">
        <v>4</v>
      </c>
      <c r="H529" t="s">
        <v>49</v>
      </c>
      <c r="I529">
        <v>1</v>
      </c>
      <c r="J529">
        <v>1655</v>
      </c>
      <c r="K529">
        <v>1</v>
      </c>
      <c r="L529" t="s">
        <v>39</v>
      </c>
      <c r="M529">
        <v>72</v>
      </c>
      <c r="N529">
        <v>3</v>
      </c>
      <c r="O529">
        <v>4</v>
      </c>
      <c r="P529" t="s">
        <v>58</v>
      </c>
      <c r="Q529">
        <v>2</v>
      </c>
      <c r="R529" t="s">
        <v>48</v>
      </c>
      <c r="S529">
        <v>16413</v>
      </c>
      <c r="T529">
        <v>3498</v>
      </c>
      <c r="U529">
        <v>3</v>
      </c>
      <c r="V529" t="s">
        <v>42</v>
      </c>
      <c r="W529" t="s">
        <v>43</v>
      </c>
      <c r="X529">
        <v>16</v>
      </c>
      <c r="Y529">
        <v>3</v>
      </c>
      <c r="Z529">
        <v>2</v>
      </c>
      <c r="AA529">
        <v>80</v>
      </c>
      <c r="AB529">
        <v>2</v>
      </c>
      <c r="AC529">
        <v>27</v>
      </c>
      <c r="AD529">
        <v>2</v>
      </c>
      <c r="AE529">
        <v>3</v>
      </c>
      <c r="AF529">
        <v>4</v>
      </c>
      <c r="AG529">
        <v>2</v>
      </c>
      <c r="AH529">
        <v>1</v>
      </c>
      <c r="AI529">
        <v>2</v>
      </c>
    </row>
    <row r="530" spans="1:35" x14ac:dyDescent="0.35">
      <c r="A530">
        <v>39</v>
      </c>
      <c r="B530" t="s">
        <v>43</v>
      </c>
      <c r="C530" t="s">
        <v>36</v>
      </c>
      <c r="D530">
        <v>492</v>
      </c>
      <c r="E530" t="s">
        <v>45</v>
      </c>
      <c r="F530">
        <v>12</v>
      </c>
      <c r="G530">
        <v>3</v>
      </c>
      <c r="H530" t="s">
        <v>51</v>
      </c>
      <c r="I530">
        <v>1</v>
      </c>
      <c r="J530">
        <v>1654</v>
      </c>
      <c r="K530">
        <v>4</v>
      </c>
      <c r="L530" t="s">
        <v>46</v>
      </c>
      <c r="M530">
        <v>66</v>
      </c>
      <c r="N530">
        <v>3</v>
      </c>
      <c r="O530">
        <v>2</v>
      </c>
      <c r="P530" t="s">
        <v>53</v>
      </c>
      <c r="Q530">
        <v>2</v>
      </c>
      <c r="R530" t="s">
        <v>48</v>
      </c>
      <c r="S530">
        <v>5295</v>
      </c>
      <c r="T530">
        <v>7693</v>
      </c>
      <c r="U530">
        <v>4</v>
      </c>
      <c r="V530" t="s">
        <v>42</v>
      </c>
      <c r="W530" t="s">
        <v>43</v>
      </c>
      <c r="X530">
        <v>21</v>
      </c>
      <c r="Y530">
        <v>4</v>
      </c>
      <c r="Z530">
        <v>3</v>
      </c>
      <c r="AA530">
        <v>80</v>
      </c>
      <c r="AB530">
        <v>0</v>
      </c>
      <c r="AC530">
        <v>7</v>
      </c>
      <c r="AD530">
        <v>3</v>
      </c>
      <c r="AE530">
        <v>3</v>
      </c>
      <c r="AF530">
        <v>5</v>
      </c>
      <c r="AG530">
        <v>4</v>
      </c>
      <c r="AH530">
        <v>1</v>
      </c>
      <c r="AI530">
        <v>0</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25</v>
      </c>
      <c r="B534" t="s">
        <v>43</v>
      </c>
      <c r="C534" t="s">
        <v>44</v>
      </c>
      <c r="D534">
        <v>772</v>
      </c>
      <c r="E534" t="s">
        <v>45</v>
      </c>
      <c r="F534">
        <v>2</v>
      </c>
      <c r="G534">
        <v>1</v>
      </c>
      <c r="H534" t="s">
        <v>38</v>
      </c>
      <c r="I534">
        <v>1</v>
      </c>
      <c r="J534">
        <v>1653</v>
      </c>
      <c r="K534">
        <v>4</v>
      </c>
      <c r="L534" t="s">
        <v>46</v>
      </c>
      <c r="M534">
        <v>77</v>
      </c>
      <c r="N534">
        <v>4</v>
      </c>
      <c r="O534">
        <v>2</v>
      </c>
      <c r="P534" t="s">
        <v>53</v>
      </c>
      <c r="Q534">
        <v>3</v>
      </c>
      <c r="R534" t="s">
        <v>52</v>
      </c>
      <c r="S534">
        <v>5206</v>
      </c>
      <c r="T534">
        <v>4973</v>
      </c>
      <c r="U534">
        <v>1</v>
      </c>
      <c r="V534" t="s">
        <v>42</v>
      </c>
      <c r="W534" t="s">
        <v>43</v>
      </c>
      <c r="X534">
        <v>17</v>
      </c>
      <c r="Y534">
        <v>3</v>
      </c>
      <c r="Z534">
        <v>3</v>
      </c>
      <c r="AA534">
        <v>80</v>
      </c>
      <c r="AB534">
        <v>2</v>
      </c>
      <c r="AC534">
        <v>7</v>
      </c>
      <c r="AD534">
        <v>6</v>
      </c>
      <c r="AE534">
        <v>3</v>
      </c>
      <c r="AF534">
        <v>7</v>
      </c>
      <c r="AG534">
        <v>7</v>
      </c>
      <c r="AH534">
        <v>0</v>
      </c>
      <c r="AI534">
        <v>7</v>
      </c>
    </row>
    <row r="535" spans="1:35" x14ac:dyDescent="0.35">
      <c r="A535">
        <v>36</v>
      </c>
      <c r="B535" t="s">
        <v>43</v>
      </c>
      <c r="C535" t="s">
        <v>36</v>
      </c>
      <c r="D535">
        <v>711</v>
      </c>
      <c r="E535" t="s">
        <v>45</v>
      </c>
      <c r="F535">
        <v>5</v>
      </c>
      <c r="G535">
        <v>4</v>
      </c>
      <c r="H535" t="s">
        <v>38</v>
      </c>
      <c r="I535">
        <v>1</v>
      </c>
      <c r="J535">
        <v>1651</v>
      </c>
      <c r="K535">
        <v>2</v>
      </c>
      <c r="L535" t="s">
        <v>39</v>
      </c>
      <c r="M535">
        <v>42</v>
      </c>
      <c r="N535">
        <v>3</v>
      </c>
      <c r="O535">
        <v>3</v>
      </c>
      <c r="P535" t="s">
        <v>54</v>
      </c>
      <c r="Q535">
        <v>1</v>
      </c>
      <c r="R535" t="s">
        <v>48</v>
      </c>
      <c r="S535">
        <v>8008</v>
      </c>
      <c r="T535">
        <v>22792</v>
      </c>
      <c r="U535">
        <v>4</v>
      </c>
      <c r="V535" t="s">
        <v>42</v>
      </c>
      <c r="W535" t="s">
        <v>43</v>
      </c>
      <c r="X535">
        <v>12</v>
      </c>
      <c r="Y535">
        <v>3</v>
      </c>
      <c r="Z535">
        <v>3</v>
      </c>
      <c r="AA535">
        <v>80</v>
      </c>
      <c r="AB535">
        <v>2</v>
      </c>
      <c r="AC535">
        <v>9</v>
      </c>
      <c r="AD535">
        <v>6</v>
      </c>
      <c r="AE535">
        <v>3</v>
      </c>
      <c r="AF535">
        <v>3</v>
      </c>
      <c r="AG535">
        <v>2</v>
      </c>
      <c r="AH535">
        <v>0</v>
      </c>
      <c r="AI535">
        <v>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40</v>
      </c>
      <c r="B537" t="s">
        <v>35</v>
      </c>
      <c r="C537" t="s">
        <v>36</v>
      </c>
      <c r="D537">
        <v>1329</v>
      </c>
      <c r="E537" t="s">
        <v>45</v>
      </c>
      <c r="F537">
        <v>7</v>
      </c>
      <c r="G537">
        <v>3</v>
      </c>
      <c r="H537" t="s">
        <v>38</v>
      </c>
      <c r="I537">
        <v>1</v>
      </c>
      <c r="J537">
        <v>1649</v>
      </c>
      <c r="K537">
        <v>1</v>
      </c>
      <c r="L537" t="s">
        <v>46</v>
      </c>
      <c r="M537">
        <v>73</v>
      </c>
      <c r="N537">
        <v>3</v>
      </c>
      <c r="O537">
        <v>1</v>
      </c>
      <c r="P537" t="s">
        <v>50</v>
      </c>
      <c r="Q537">
        <v>1</v>
      </c>
      <c r="R537" t="s">
        <v>41</v>
      </c>
      <c r="S537">
        <v>2166</v>
      </c>
      <c r="T537">
        <v>3339</v>
      </c>
      <c r="U537">
        <v>3</v>
      </c>
      <c r="V537" t="s">
        <v>42</v>
      </c>
      <c r="W537" t="s">
        <v>35</v>
      </c>
      <c r="X537">
        <v>14</v>
      </c>
      <c r="Y537">
        <v>3</v>
      </c>
      <c r="Z537">
        <v>2</v>
      </c>
      <c r="AA537">
        <v>80</v>
      </c>
      <c r="AB537">
        <v>0</v>
      </c>
      <c r="AC537">
        <v>10</v>
      </c>
      <c r="AD537">
        <v>3</v>
      </c>
      <c r="AE537">
        <v>1</v>
      </c>
      <c r="AF537">
        <v>4</v>
      </c>
      <c r="AG537">
        <v>2</v>
      </c>
      <c r="AH537">
        <v>0</v>
      </c>
      <c r="AI537">
        <v>3</v>
      </c>
    </row>
    <row r="538" spans="1:35" x14ac:dyDescent="0.35">
      <c r="A538">
        <v>27</v>
      </c>
      <c r="B538" t="s">
        <v>43</v>
      </c>
      <c r="C538" t="s">
        <v>44</v>
      </c>
      <c r="D538">
        <v>591</v>
      </c>
      <c r="E538" t="s">
        <v>45</v>
      </c>
      <c r="F538">
        <v>2</v>
      </c>
      <c r="G538">
        <v>3</v>
      </c>
      <c r="H538" t="s">
        <v>51</v>
      </c>
      <c r="I538">
        <v>1</v>
      </c>
      <c r="J538">
        <v>1648</v>
      </c>
      <c r="K538">
        <v>4</v>
      </c>
      <c r="L538" t="s">
        <v>46</v>
      </c>
      <c r="M538">
        <v>87</v>
      </c>
      <c r="N538">
        <v>3</v>
      </c>
      <c r="O538">
        <v>1</v>
      </c>
      <c r="P538" t="s">
        <v>47</v>
      </c>
      <c r="Q538">
        <v>4</v>
      </c>
      <c r="R538" t="s">
        <v>41</v>
      </c>
      <c r="S538">
        <v>2580</v>
      </c>
      <c r="T538">
        <v>6297</v>
      </c>
      <c r="U538">
        <v>2</v>
      </c>
      <c r="V538" t="s">
        <v>42</v>
      </c>
      <c r="W538" t="s">
        <v>43</v>
      </c>
      <c r="X538">
        <v>13</v>
      </c>
      <c r="Y538">
        <v>3</v>
      </c>
      <c r="Z538">
        <v>3</v>
      </c>
      <c r="AA538">
        <v>80</v>
      </c>
      <c r="AB538">
        <v>0</v>
      </c>
      <c r="AC538">
        <v>6</v>
      </c>
      <c r="AD538">
        <v>0</v>
      </c>
      <c r="AE538">
        <v>2</v>
      </c>
      <c r="AF538">
        <v>4</v>
      </c>
      <c r="AG538">
        <v>2</v>
      </c>
      <c r="AH538">
        <v>1</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27</v>
      </c>
      <c r="B540" t="s">
        <v>43</v>
      </c>
      <c r="C540" t="s">
        <v>36</v>
      </c>
      <c r="D540">
        <v>486</v>
      </c>
      <c r="E540" t="s">
        <v>45</v>
      </c>
      <c r="F540">
        <v>8</v>
      </c>
      <c r="G540">
        <v>3</v>
      </c>
      <c r="H540" t="s">
        <v>51</v>
      </c>
      <c r="I540">
        <v>1</v>
      </c>
      <c r="J540">
        <v>1647</v>
      </c>
      <c r="K540">
        <v>2</v>
      </c>
      <c r="L540" t="s">
        <v>39</v>
      </c>
      <c r="M540">
        <v>86</v>
      </c>
      <c r="N540">
        <v>4</v>
      </c>
      <c r="O540">
        <v>1</v>
      </c>
      <c r="P540" t="s">
        <v>47</v>
      </c>
      <c r="Q540">
        <v>3</v>
      </c>
      <c r="R540" t="s">
        <v>48</v>
      </c>
      <c r="S540">
        <v>3517</v>
      </c>
      <c r="T540">
        <v>22490</v>
      </c>
      <c r="U540">
        <v>7</v>
      </c>
      <c r="V540" t="s">
        <v>42</v>
      </c>
      <c r="W540" t="s">
        <v>43</v>
      </c>
      <c r="X540">
        <v>17</v>
      </c>
      <c r="Y540">
        <v>3</v>
      </c>
      <c r="Z540">
        <v>1</v>
      </c>
      <c r="AA540">
        <v>80</v>
      </c>
      <c r="AB540">
        <v>0</v>
      </c>
      <c r="AC540">
        <v>5</v>
      </c>
      <c r="AD540">
        <v>0</v>
      </c>
      <c r="AE540">
        <v>3</v>
      </c>
      <c r="AF540">
        <v>3</v>
      </c>
      <c r="AG540">
        <v>2</v>
      </c>
      <c r="AH540">
        <v>0</v>
      </c>
      <c r="AI540">
        <v>2</v>
      </c>
    </row>
    <row r="541" spans="1:35" x14ac:dyDescent="0.35">
      <c r="A541">
        <v>24</v>
      </c>
      <c r="B541" t="s">
        <v>43</v>
      </c>
      <c r="C541" t="s">
        <v>44</v>
      </c>
      <c r="D541">
        <v>567</v>
      </c>
      <c r="E541" t="s">
        <v>45</v>
      </c>
      <c r="F541">
        <v>2</v>
      </c>
      <c r="G541">
        <v>1</v>
      </c>
      <c r="H541" t="s">
        <v>60</v>
      </c>
      <c r="I541">
        <v>1</v>
      </c>
      <c r="J541">
        <v>1646</v>
      </c>
      <c r="K541">
        <v>1</v>
      </c>
      <c r="L541" t="s">
        <v>39</v>
      </c>
      <c r="M541">
        <v>32</v>
      </c>
      <c r="N541">
        <v>3</v>
      </c>
      <c r="O541">
        <v>1</v>
      </c>
      <c r="P541" t="s">
        <v>47</v>
      </c>
      <c r="Q541">
        <v>4</v>
      </c>
      <c r="R541" t="s">
        <v>41</v>
      </c>
      <c r="S541">
        <v>3760</v>
      </c>
      <c r="T541">
        <v>17218</v>
      </c>
      <c r="U541">
        <v>1</v>
      </c>
      <c r="V541" t="s">
        <v>42</v>
      </c>
      <c r="W541" t="s">
        <v>35</v>
      </c>
      <c r="X541">
        <v>13</v>
      </c>
      <c r="Y541">
        <v>3</v>
      </c>
      <c r="Z541">
        <v>3</v>
      </c>
      <c r="AA541">
        <v>80</v>
      </c>
      <c r="AB541">
        <v>0</v>
      </c>
      <c r="AC541">
        <v>6</v>
      </c>
      <c r="AD541">
        <v>2</v>
      </c>
      <c r="AE541">
        <v>3</v>
      </c>
      <c r="AF541">
        <v>6</v>
      </c>
      <c r="AG541">
        <v>3</v>
      </c>
      <c r="AH541">
        <v>1</v>
      </c>
      <c r="AI541">
        <v>3</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48</v>
      </c>
      <c r="B546" t="s">
        <v>43</v>
      </c>
      <c r="C546" t="s">
        <v>44</v>
      </c>
      <c r="D546">
        <v>365</v>
      </c>
      <c r="E546" t="s">
        <v>45</v>
      </c>
      <c r="F546">
        <v>4</v>
      </c>
      <c r="G546">
        <v>5</v>
      </c>
      <c r="H546" t="s">
        <v>51</v>
      </c>
      <c r="I546">
        <v>1</v>
      </c>
      <c r="J546">
        <v>1644</v>
      </c>
      <c r="K546">
        <v>3</v>
      </c>
      <c r="L546" t="s">
        <v>46</v>
      </c>
      <c r="M546">
        <v>89</v>
      </c>
      <c r="N546">
        <v>2</v>
      </c>
      <c r="O546">
        <v>4</v>
      </c>
      <c r="P546" t="s">
        <v>56</v>
      </c>
      <c r="Q546">
        <v>4</v>
      </c>
      <c r="R546" t="s">
        <v>48</v>
      </c>
      <c r="S546">
        <v>15202</v>
      </c>
      <c r="T546">
        <v>5602</v>
      </c>
      <c r="U546">
        <v>2</v>
      </c>
      <c r="V546" t="s">
        <v>42</v>
      </c>
      <c r="W546" t="s">
        <v>43</v>
      </c>
      <c r="X546">
        <v>25</v>
      </c>
      <c r="Y546">
        <v>4</v>
      </c>
      <c r="Z546">
        <v>2</v>
      </c>
      <c r="AA546">
        <v>80</v>
      </c>
      <c r="AB546">
        <v>1</v>
      </c>
      <c r="AC546">
        <v>23</v>
      </c>
      <c r="AD546">
        <v>3</v>
      </c>
      <c r="AE546">
        <v>3</v>
      </c>
      <c r="AF546">
        <v>2</v>
      </c>
      <c r="AG546">
        <v>2</v>
      </c>
      <c r="AH546">
        <v>2</v>
      </c>
      <c r="AI546">
        <v>2</v>
      </c>
    </row>
    <row r="547" spans="1:35" x14ac:dyDescent="0.35">
      <c r="A547">
        <v>40</v>
      </c>
      <c r="B547" t="s">
        <v>43</v>
      </c>
      <c r="C547" t="s">
        <v>36</v>
      </c>
      <c r="D547">
        <v>448</v>
      </c>
      <c r="E547" t="s">
        <v>45</v>
      </c>
      <c r="F547">
        <v>16</v>
      </c>
      <c r="G547">
        <v>3</v>
      </c>
      <c r="H547" t="s">
        <v>38</v>
      </c>
      <c r="I547">
        <v>1</v>
      </c>
      <c r="J547">
        <v>1641</v>
      </c>
      <c r="K547">
        <v>3</v>
      </c>
      <c r="L547" t="s">
        <v>39</v>
      </c>
      <c r="M547">
        <v>84</v>
      </c>
      <c r="N547">
        <v>3</v>
      </c>
      <c r="O547">
        <v>3</v>
      </c>
      <c r="P547" t="s">
        <v>53</v>
      </c>
      <c r="Q547">
        <v>4</v>
      </c>
      <c r="R547" t="s">
        <v>41</v>
      </c>
      <c r="S547">
        <v>7945</v>
      </c>
      <c r="T547">
        <v>19948</v>
      </c>
      <c r="U547">
        <v>6</v>
      </c>
      <c r="V547" t="s">
        <v>42</v>
      </c>
      <c r="W547" t="s">
        <v>35</v>
      </c>
      <c r="X547">
        <v>15</v>
      </c>
      <c r="Y547">
        <v>3</v>
      </c>
      <c r="Z547">
        <v>4</v>
      </c>
      <c r="AA547">
        <v>80</v>
      </c>
      <c r="AB547">
        <v>0</v>
      </c>
      <c r="AC547">
        <v>18</v>
      </c>
      <c r="AD547">
        <v>2</v>
      </c>
      <c r="AE547">
        <v>2</v>
      </c>
      <c r="AF547">
        <v>4</v>
      </c>
      <c r="AG547">
        <v>2</v>
      </c>
      <c r="AH547">
        <v>3</v>
      </c>
      <c r="AI547">
        <v>3</v>
      </c>
    </row>
    <row r="548" spans="1:35" x14ac:dyDescent="0.35">
      <c r="A548">
        <v>37</v>
      </c>
      <c r="B548" t="s">
        <v>43</v>
      </c>
      <c r="C548" t="s">
        <v>36</v>
      </c>
      <c r="D548">
        <v>1470</v>
      </c>
      <c r="E548" t="s">
        <v>45</v>
      </c>
      <c r="F548">
        <v>10</v>
      </c>
      <c r="G548">
        <v>3</v>
      </c>
      <c r="H548" t="s">
        <v>51</v>
      </c>
      <c r="I548">
        <v>1</v>
      </c>
      <c r="J548">
        <v>1640</v>
      </c>
      <c r="K548">
        <v>2</v>
      </c>
      <c r="L548" t="s">
        <v>39</v>
      </c>
      <c r="M548">
        <v>71</v>
      </c>
      <c r="N548">
        <v>3</v>
      </c>
      <c r="O548">
        <v>1</v>
      </c>
      <c r="P548" t="s">
        <v>47</v>
      </c>
      <c r="Q548">
        <v>2</v>
      </c>
      <c r="R548" t="s">
        <v>48</v>
      </c>
      <c r="S548">
        <v>3936</v>
      </c>
      <c r="T548">
        <v>9953</v>
      </c>
      <c r="U548">
        <v>1</v>
      </c>
      <c r="V548" t="s">
        <v>42</v>
      </c>
      <c r="W548" t="s">
        <v>43</v>
      </c>
      <c r="X548">
        <v>11</v>
      </c>
      <c r="Y548">
        <v>3</v>
      </c>
      <c r="Z548">
        <v>1</v>
      </c>
      <c r="AA548">
        <v>80</v>
      </c>
      <c r="AB548">
        <v>1</v>
      </c>
      <c r="AC548">
        <v>8</v>
      </c>
      <c r="AD548">
        <v>2</v>
      </c>
      <c r="AE548">
        <v>1</v>
      </c>
      <c r="AF548">
        <v>8</v>
      </c>
      <c r="AG548">
        <v>4</v>
      </c>
      <c r="AH548">
        <v>7</v>
      </c>
      <c r="AI548">
        <v>7</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38</v>
      </c>
      <c r="B550" t="s">
        <v>43</v>
      </c>
      <c r="C550" t="s">
        <v>36</v>
      </c>
      <c r="D550">
        <v>397</v>
      </c>
      <c r="E550" t="s">
        <v>45</v>
      </c>
      <c r="F550">
        <v>2</v>
      </c>
      <c r="G550">
        <v>2</v>
      </c>
      <c r="H550" t="s">
        <v>51</v>
      </c>
      <c r="I550">
        <v>1</v>
      </c>
      <c r="J550">
        <v>1638</v>
      </c>
      <c r="K550">
        <v>4</v>
      </c>
      <c r="L550" t="s">
        <v>39</v>
      </c>
      <c r="M550">
        <v>54</v>
      </c>
      <c r="N550">
        <v>2</v>
      </c>
      <c r="O550">
        <v>3</v>
      </c>
      <c r="P550" t="s">
        <v>53</v>
      </c>
      <c r="Q550">
        <v>3</v>
      </c>
      <c r="R550" t="s">
        <v>48</v>
      </c>
      <c r="S550">
        <v>7756</v>
      </c>
      <c r="T550">
        <v>14199</v>
      </c>
      <c r="U550">
        <v>3</v>
      </c>
      <c r="V550" t="s">
        <v>42</v>
      </c>
      <c r="W550" t="s">
        <v>35</v>
      </c>
      <c r="X550">
        <v>19</v>
      </c>
      <c r="Y550">
        <v>3</v>
      </c>
      <c r="Z550">
        <v>4</v>
      </c>
      <c r="AA550">
        <v>80</v>
      </c>
      <c r="AB550">
        <v>1</v>
      </c>
      <c r="AC550">
        <v>10</v>
      </c>
      <c r="AD550">
        <v>6</v>
      </c>
      <c r="AE550">
        <v>4</v>
      </c>
      <c r="AF550">
        <v>5</v>
      </c>
      <c r="AG550">
        <v>4</v>
      </c>
      <c r="AH550">
        <v>0</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45</v>
      </c>
      <c r="B553" t="s">
        <v>43</v>
      </c>
      <c r="C553" t="s">
        <v>36</v>
      </c>
      <c r="D553">
        <v>1329</v>
      </c>
      <c r="E553" t="s">
        <v>45</v>
      </c>
      <c r="F553">
        <v>2</v>
      </c>
      <c r="G553">
        <v>2</v>
      </c>
      <c r="H553" t="s">
        <v>49</v>
      </c>
      <c r="I553">
        <v>1</v>
      </c>
      <c r="J553">
        <v>1635</v>
      </c>
      <c r="K553">
        <v>4</v>
      </c>
      <c r="L553" t="s">
        <v>39</v>
      </c>
      <c r="M553">
        <v>59</v>
      </c>
      <c r="N553">
        <v>2</v>
      </c>
      <c r="O553">
        <v>2</v>
      </c>
      <c r="P553" t="s">
        <v>53</v>
      </c>
      <c r="Q553">
        <v>4</v>
      </c>
      <c r="R553" t="s">
        <v>52</v>
      </c>
      <c r="S553">
        <v>5770</v>
      </c>
      <c r="T553">
        <v>5388</v>
      </c>
      <c r="U553">
        <v>1</v>
      </c>
      <c r="V553" t="s">
        <v>42</v>
      </c>
      <c r="W553" t="s">
        <v>43</v>
      </c>
      <c r="X553">
        <v>19</v>
      </c>
      <c r="Y553">
        <v>3</v>
      </c>
      <c r="Z553">
        <v>1</v>
      </c>
      <c r="AA553">
        <v>80</v>
      </c>
      <c r="AB553">
        <v>2</v>
      </c>
      <c r="AC553">
        <v>10</v>
      </c>
      <c r="AD553">
        <v>3</v>
      </c>
      <c r="AE553">
        <v>3</v>
      </c>
      <c r="AF553">
        <v>10</v>
      </c>
      <c r="AG553">
        <v>7</v>
      </c>
      <c r="AH553">
        <v>3</v>
      </c>
      <c r="AI553">
        <v>9</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39</v>
      </c>
      <c r="B557" t="s">
        <v>43</v>
      </c>
      <c r="C557" t="s">
        <v>44</v>
      </c>
      <c r="D557">
        <v>711</v>
      </c>
      <c r="E557" t="s">
        <v>45</v>
      </c>
      <c r="F557">
        <v>4</v>
      </c>
      <c r="G557">
        <v>3</v>
      </c>
      <c r="H557" t="s">
        <v>51</v>
      </c>
      <c r="I557">
        <v>1</v>
      </c>
      <c r="J557">
        <v>1633</v>
      </c>
      <c r="K557">
        <v>1</v>
      </c>
      <c r="L557" t="s">
        <v>39</v>
      </c>
      <c r="M557">
        <v>81</v>
      </c>
      <c r="N557">
        <v>3</v>
      </c>
      <c r="O557">
        <v>2</v>
      </c>
      <c r="P557" t="s">
        <v>53</v>
      </c>
      <c r="Q557">
        <v>3</v>
      </c>
      <c r="R557" t="s">
        <v>41</v>
      </c>
      <c r="S557">
        <v>5042</v>
      </c>
      <c r="T557">
        <v>3140</v>
      </c>
      <c r="U557">
        <v>0</v>
      </c>
      <c r="V557" t="s">
        <v>42</v>
      </c>
      <c r="W557" t="s">
        <v>43</v>
      </c>
      <c r="X557">
        <v>13</v>
      </c>
      <c r="Y557">
        <v>3</v>
      </c>
      <c r="Z557">
        <v>4</v>
      </c>
      <c r="AA557">
        <v>80</v>
      </c>
      <c r="AB557">
        <v>0</v>
      </c>
      <c r="AC557">
        <v>10</v>
      </c>
      <c r="AD557">
        <v>2</v>
      </c>
      <c r="AE557">
        <v>1</v>
      </c>
      <c r="AF557">
        <v>9</v>
      </c>
      <c r="AG557">
        <v>2</v>
      </c>
      <c r="AH557">
        <v>3</v>
      </c>
      <c r="AI557">
        <v>8</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37</v>
      </c>
      <c r="B563" t="s">
        <v>43</v>
      </c>
      <c r="C563" t="s">
        <v>36</v>
      </c>
      <c r="D563">
        <v>671</v>
      </c>
      <c r="E563" t="s">
        <v>45</v>
      </c>
      <c r="F563">
        <v>19</v>
      </c>
      <c r="G563">
        <v>3</v>
      </c>
      <c r="H563" t="s">
        <v>38</v>
      </c>
      <c r="I563">
        <v>1</v>
      </c>
      <c r="J563">
        <v>1631</v>
      </c>
      <c r="K563">
        <v>3</v>
      </c>
      <c r="L563" t="s">
        <v>46</v>
      </c>
      <c r="M563">
        <v>85</v>
      </c>
      <c r="N563">
        <v>3</v>
      </c>
      <c r="O563">
        <v>2</v>
      </c>
      <c r="P563" t="s">
        <v>53</v>
      </c>
      <c r="Q563">
        <v>3</v>
      </c>
      <c r="R563" t="s">
        <v>48</v>
      </c>
      <c r="S563">
        <v>5768</v>
      </c>
      <c r="T563">
        <v>26493</v>
      </c>
      <c r="U563">
        <v>3</v>
      </c>
      <c r="V563" t="s">
        <v>42</v>
      </c>
      <c r="W563" t="s">
        <v>43</v>
      </c>
      <c r="X563">
        <v>17</v>
      </c>
      <c r="Y563">
        <v>3</v>
      </c>
      <c r="Z563">
        <v>1</v>
      </c>
      <c r="AA563">
        <v>80</v>
      </c>
      <c r="AB563">
        <v>3</v>
      </c>
      <c r="AC563">
        <v>9</v>
      </c>
      <c r="AD563">
        <v>2</v>
      </c>
      <c r="AE563">
        <v>2</v>
      </c>
      <c r="AF563">
        <v>4</v>
      </c>
      <c r="AG563">
        <v>3</v>
      </c>
      <c r="AH563">
        <v>0</v>
      </c>
      <c r="AI563">
        <v>2</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35</v>
      </c>
      <c r="B565" t="s">
        <v>43</v>
      </c>
      <c r="C565" t="s">
        <v>55</v>
      </c>
      <c r="D565">
        <v>208</v>
      </c>
      <c r="E565" t="s">
        <v>45</v>
      </c>
      <c r="F565">
        <v>8</v>
      </c>
      <c r="G565">
        <v>4</v>
      </c>
      <c r="H565" t="s">
        <v>38</v>
      </c>
      <c r="I565">
        <v>1</v>
      </c>
      <c r="J565">
        <v>1630</v>
      </c>
      <c r="K565">
        <v>3</v>
      </c>
      <c r="L565" t="s">
        <v>39</v>
      </c>
      <c r="M565">
        <v>52</v>
      </c>
      <c r="N565">
        <v>3</v>
      </c>
      <c r="O565">
        <v>2</v>
      </c>
      <c r="P565" t="s">
        <v>54</v>
      </c>
      <c r="Q565">
        <v>3</v>
      </c>
      <c r="R565" t="s">
        <v>48</v>
      </c>
      <c r="S565">
        <v>4148</v>
      </c>
      <c r="T565">
        <v>12250</v>
      </c>
      <c r="U565">
        <v>1</v>
      </c>
      <c r="V565" t="s">
        <v>42</v>
      </c>
      <c r="W565" t="s">
        <v>43</v>
      </c>
      <c r="X565">
        <v>12</v>
      </c>
      <c r="Y565">
        <v>3</v>
      </c>
      <c r="Z565">
        <v>4</v>
      </c>
      <c r="AA565">
        <v>80</v>
      </c>
      <c r="AB565">
        <v>1</v>
      </c>
      <c r="AC565">
        <v>15</v>
      </c>
      <c r="AD565">
        <v>5</v>
      </c>
      <c r="AE565">
        <v>3</v>
      </c>
      <c r="AF565">
        <v>14</v>
      </c>
      <c r="AG565">
        <v>11</v>
      </c>
      <c r="AH565">
        <v>2</v>
      </c>
      <c r="AI565">
        <v>9</v>
      </c>
    </row>
    <row r="566" spans="1:35" x14ac:dyDescent="0.35">
      <c r="A566">
        <v>40</v>
      </c>
      <c r="B566" t="s">
        <v>43</v>
      </c>
      <c r="C566" t="s">
        <v>36</v>
      </c>
      <c r="D566">
        <v>884</v>
      </c>
      <c r="E566" t="s">
        <v>45</v>
      </c>
      <c r="F566">
        <v>15</v>
      </c>
      <c r="G566">
        <v>3</v>
      </c>
      <c r="H566" t="s">
        <v>38</v>
      </c>
      <c r="I566">
        <v>1</v>
      </c>
      <c r="J566">
        <v>1628</v>
      </c>
      <c r="K566">
        <v>1</v>
      </c>
      <c r="L566" t="s">
        <v>39</v>
      </c>
      <c r="M566">
        <v>80</v>
      </c>
      <c r="N566">
        <v>2</v>
      </c>
      <c r="O566">
        <v>3</v>
      </c>
      <c r="P566" t="s">
        <v>53</v>
      </c>
      <c r="Q566">
        <v>3</v>
      </c>
      <c r="R566" t="s">
        <v>48</v>
      </c>
      <c r="S566">
        <v>10435</v>
      </c>
      <c r="T566">
        <v>25800</v>
      </c>
      <c r="U566">
        <v>1</v>
      </c>
      <c r="V566" t="s">
        <v>42</v>
      </c>
      <c r="W566" t="s">
        <v>43</v>
      </c>
      <c r="X566">
        <v>13</v>
      </c>
      <c r="Y566">
        <v>3</v>
      </c>
      <c r="Z566">
        <v>4</v>
      </c>
      <c r="AA566">
        <v>80</v>
      </c>
      <c r="AB566">
        <v>2</v>
      </c>
      <c r="AC566">
        <v>18</v>
      </c>
      <c r="AD566">
        <v>2</v>
      </c>
      <c r="AE566">
        <v>3</v>
      </c>
      <c r="AF566">
        <v>18</v>
      </c>
      <c r="AG566">
        <v>15</v>
      </c>
      <c r="AH566">
        <v>14</v>
      </c>
      <c r="AI566">
        <v>12</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39</v>
      </c>
      <c r="B568" t="s">
        <v>43</v>
      </c>
      <c r="C568" t="s">
        <v>36</v>
      </c>
      <c r="D568">
        <v>170</v>
      </c>
      <c r="E568" t="s">
        <v>45</v>
      </c>
      <c r="F568">
        <v>3</v>
      </c>
      <c r="G568">
        <v>2</v>
      </c>
      <c r="H568" t="s">
        <v>51</v>
      </c>
      <c r="I568">
        <v>1</v>
      </c>
      <c r="J568">
        <v>1627</v>
      </c>
      <c r="K568">
        <v>3</v>
      </c>
      <c r="L568" t="s">
        <v>46</v>
      </c>
      <c r="M568">
        <v>76</v>
      </c>
      <c r="N568">
        <v>2</v>
      </c>
      <c r="O568">
        <v>2</v>
      </c>
      <c r="P568" t="s">
        <v>50</v>
      </c>
      <c r="Q568">
        <v>3</v>
      </c>
      <c r="R568" t="s">
        <v>52</v>
      </c>
      <c r="S568">
        <v>3069</v>
      </c>
      <c r="T568">
        <v>10302</v>
      </c>
      <c r="U568">
        <v>0</v>
      </c>
      <c r="V568" t="s">
        <v>42</v>
      </c>
      <c r="W568" t="s">
        <v>43</v>
      </c>
      <c r="X568">
        <v>15</v>
      </c>
      <c r="Y568">
        <v>3</v>
      </c>
      <c r="Z568">
        <v>4</v>
      </c>
      <c r="AA568">
        <v>80</v>
      </c>
      <c r="AB568">
        <v>1</v>
      </c>
      <c r="AC568">
        <v>11</v>
      </c>
      <c r="AD568">
        <v>3</v>
      </c>
      <c r="AE568">
        <v>3</v>
      </c>
      <c r="AF568">
        <v>10</v>
      </c>
      <c r="AG568">
        <v>8</v>
      </c>
      <c r="AH568">
        <v>0</v>
      </c>
      <c r="AI568">
        <v>7</v>
      </c>
    </row>
    <row r="569" spans="1:35" x14ac:dyDescent="0.35">
      <c r="A569">
        <v>21</v>
      </c>
      <c r="B569" t="s">
        <v>43</v>
      </c>
      <c r="C569" t="s">
        <v>36</v>
      </c>
      <c r="D569">
        <v>546</v>
      </c>
      <c r="E569" t="s">
        <v>45</v>
      </c>
      <c r="F569">
        <v>5</v>
      </c>
      <c r="G569">
        <v>1</v>
      </c>
      <c r="H569" t="s">
        <v>51</v>
      </c>
      <c r="I569">
        <v>1</v>
      </c>
      <c r="J569">
        <v>1623</v>
      </c>
      <c r="K569">
        <v>3</v>
      </c>
      <c r="L569" t="s">
        <v>46</v>
      </c>
      <c r="M569">
        <v>97</v>
      </c>
      <c r="N569">
        <v>3</v>
      </c>
      <c r="O569">
        <v>1</v>
      </c>
      <c r="P569" t="s">
        <v>47</v>
      </c>
      <c r="Q569">
        <v>4</v>
      </c>
      <c r="R569" t="s">
        <v>41</v>
      </c>
      <c r="S569">
        <v>3117</v>
      </c>
      <c r="T569">
        <v>26009</v>
      </c>
      <c r="U569">
        <v>1</v>
      </c>
      <c r="V569" t="s">
        <v>42</v>
      </c>
      <c r="W569" t="s">
        <v>43</v>
      </c>
      <c r="X569">
        <v>18</v>
      </c>
      <c r="Y569">
        <v>3</v>
      </c>
      <c r="Z569">
        <v>3</v>
      </c>
      <c r="AA569">
        <v>80</v>
      </c>
      <c r="AB569">
        <v>0</v>
      </c>
      <c r="AC569">
        <v>3</v>
      </c>
      <c r="AD569">
        <v>2</v>
      </c>
      <c r="AE569">
        <v>3</v>
      </c>
      <c r="AF569">
        <v>2</v>
      </c>
      <c r="AG569">
        <v>2</v>
      </c>
      <c r="AH569">
        <v>2</v>
      </c>
      <c r="AI569">
        <v>2</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28</v>
      </c>
      <c r="B571" t="s">
        <v>43</v>
      </c>
      <c r="C571" t="s">
        <v>36</v>
      </c>
      <c r="D571">
        <v>580</v>
      </c>
      <c r="E571" t="s">
        <v>45</v>
      </c>
      <c r="F571">
        <v>27</v>
      </c>
      <c r="G571">
        <v>3</v>
      </c>
      <c r="H571" t="s">
        <v>51</v>
      </c>
      <c r="I571">
        <v>1</v>
      </c>
      <c r="J571">
        <v>1622</v>
      </c>
      <c r="K571">
        <v>2</v>
      </c>
      <c r="L571" t="s">
        <v>39</v>
      </c>
      <c r="M571">
        <v>39</v>
      </c>
      <c r="N571">
        <v>1</v>
      </c>
      <c r="O571">
        <v>2</v>
      </c>
      <c r="P571" t="s">
        <v>53</v>
      </c>
      <c r="Q571">
        <v>1</v>
      </c>
      <c r="R571" t="s">
        <v>52</v>
      </c>
      <c r="S571">
        <v>4877</v>
      </c>
      <c r="T571">
        <v>20460</v>
      </c>
      <c r="U571">
        <v>0</v>
      </c>
      <c r="V571" t="s">
        <v>42</v>
      </c>
      <c r="W571" t="s">
        <v>43</v>
      </c>
      <c r="X571">
        <v>21</v>
      </c>
      <c r="Y571">
        <v>4</v>
      </c>
      <c r="Z571">
        <v>2</v>
      </c>
      <c r="AA571">
        <v>80</v>
      </c>
      <c r="AB571">
        <v>1</v>
      </c>
      <c r="AC571">
        <v>6</v>
      </c>
      <c r="AD571">
        <v>5</v>
      </c>
      <c r="AE571">
        <v>2</v>
      </c>
      <c r="AF571">
        <v>5</v>
      </c>
      <c r="AG571">
        <v>3</v>
      </c>
      <c r="AH571">
        <v>0</v>
      </c>
      <c r="AI571">
        <v>0</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35</v>
      </c>
      <c r="B575" t="s">
        <v>43</v>
      </c>
      <c r="C575" t="s">
        <v>36</v>
      </c>
      <c r="D575">
        <v>819</v>
      </c>
      <c r="E575" t="s">
        <v>45</v>
      </c>
      <c r="F575">
        <v>18</v>
      </c>
      <c r="G575">
        <v>5</v>
      </c>
      <c r="H575" t="s">
        <v>38</v>
      </c>
      <c r="I575">
        <v>1</v>
      </c>
      <c r="J575">
        <v>1621</v>
      </c>
      <c r="K575">
        <v>2</v>
      </c>
      <c r="L575" t="s">
        <v>46</v>
      </c>
      <c r="M575">
        <v>48</v>
      </c>
      <c r="N575">
        <v>4</v>
      </c>
      <c r="O575">
        <v>2</v>
      </c>
      <c r="P575" t="s">
        <v>47</v>
      </c>
      <c r="Q575">
        <v>1</v>
      </c>
      <c r="R575" t="s">
        <v>48</v>
      </c>
      <c r="S575">
        <v>5208</v>
      </c>
      <c r="T575">
        <v>26312</v>
      </c>
      <c r="U575">
        <v>1</v>
      </c>
      <c r="V575" t="s">
        <v>42</v>
      </c>
      <c r="W575" t="s">
        <v>43</v>
      </c>
      <c r="X575">
        <v>11</v>
      </c>
      <c r="Y575">
        <v>3</v>
      </c>
      <c r="Z575">
        <v>4</v>
      </c>
      <c r="AA575">
        <v>80</v>
      </c>
      <c r="AB575">
        <v>0</v>
      </c>
      <c r="AC575">
        <v>16</v>
      </c>
      <c r="AD575">
        <v>2</v>
      </c>
      <c r="AE575">
        <v>3</v>
      </c>
      <c r="AF575">
        <v>16</v>
      </c>
      <c r="AG575">
        <v>15</v>
      </c>
      <c r="AH575">
        <v>1</v>
      </c>
      <c r="AI575">
        <v>10</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36</v>
      </c>
      <c r="D578">
        <v>1302</v>
      </c>
      <c r="E578" t="s">
        <v>45</v>
      </c>
      <c r="F578">
        <v>19</v>
      </c>
      <c r="G578">
        <v>3</v>
      </c>
      <c r="H578" t="s">
        <v>49</v>
      </c>
      <c r="I578">
        <v>1</v>
      </c>
      <c r="J578">
        <v>1619</v>
      </c>
      <c r="K578">
        <v>4</v>
      </c>
      <c r="L578" t="s">
        <v>46</v>
      </c>
      <c r="M578">
        <v>67</v>
      </c>
      <c r="N578">
        <v>2</v>
      </c>
      <c r="O578">
        <v>1</v>
      </c>
      <c r="P578" t="s">
        <v>50</v>
      </c>
      <c r="Q578">
        <v>1</v>
      </c>
      <c r="R578" t="s">
        <v>52</v>
      </c>
      <c r="S578">
        <v>4066</v>
      </c>
      <c r="T578">
        <v>16290</v>
      </c>
      <c r="U578">
        <v>1</v>
      </c>
      <c r="V578" t="s">
        <v>42</v>
      </c>
      <c r="W578" t="s">
        <v>43</v>
      </c>
      <c r="X578">
        <v>11</v>
      </c>
      <c r="Y578">
        <v>3</v>
      </c>
      <c r="Z578">
        <v>1</v>
      </c>
      <c r="AA578">
        <v>80</v>
      </c>
      <c r="AB578">
        <v>2</v>
      </c>
      <c r="AC578">
        <v>7</v>
      </c>
      <c r="AD578">
        <v>3</v>
      </c>
      <c r="AE578">
        <v>3</v>
      </c>
      <c r="AF578">
        <v>7</v>
      </c>
      <c r="AG578">
        <v>7</v>
      </c>
      <c r="AH578">
        <v>0</v>
      </c>
      <c r="AI578">
        <v>7</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39</v>
      </c>
      <c r="B582" t="s">
        <v>43</v>
      </c>
      <c r="C582" t="s">
        <v>36</v>
      </c>
      <c r="D582">
        <v>1387</v>
      </c>
      <c r="E582" t="s">
        <v>45</v>
      </c>
      <c r="F582">
        <v>10</v>
      </c>
      <c r="G582">
        <v>5</v>
      </c>
      <c r="H582" t="s">
        <v>51</v>
      </c>
      <c r="I582">
        <v>1</v>
      </c>
      <c r="J582">
        <v>1618</v>
      </c>
      <c r="K582">
        <v>2</v>
      </c>
      <c r="L582" t="s">
        <v>46</v>
      </c>
      <c r="M582">
        <v>76</v>
      </c>
      <c r="N582">
        <v>3</v>
      </c>
      <c r="O582">
        <v>2</v>
      </c>
      <c r="P582" t="s">
        <v>53</v>
      </c>
      <c r="Q582">
        <v>1</v>
      </c>
      <c r="R582" t="s">
        <v>48</v>
      </c>
      <c r="S582">
        <v>5377</v>
      </c>
      <c r="T582">
        <v>3835</v>
      </c>
      <c r="U582">
        <v>2</v>
      </c>
      <c r="V582" t="s">
        <v>42</v>
      </c>
      <c r="W582" t="s">
        <v>43</v>
      </c>
      <c r="X582">
        <v>13</v>
      </c>
      <c r="Y582">
        <v>3</v>
      </c>
      <c r="Z582">
        <v>4</v>
      </c>
      <c r="AA582">
        <v>80</v>
      </c>
      <c r="AB582">
        <v>3</v>
      </c>
      <c r="AC582">
        <v>10</v>
      </c>
      <c r="AD582">
        <v>3</v>
      </c>
      <c r="AE582">
        <v>3</v>
      </c>
      <c r="AF582">
        <v>7</v>
      </c>
      <c r="AG582">
        <v>7</v>
      </c>
      <c r="AH582">
        <v>7</v>
      </c>
      <c r="AI582">
        <v>7</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49</v>
      </c>
      <c r="B585" t="s">
        <v>43</v>
      </c>
      <c r="C585" t="s">
        <v>36</v>
      </c>
      <c r="D585">
        <v>722</v>
      </c>
      <c r="E585" t="s">
        <v>45</v>
      </c>
      <c r="F585">
        <v>25</v>
      </c>
      <c r="G585">
        <v>4</v>
      </c>
      <c r="H585" t="s">
        <v>38</v>
      </c>
      <c r="I585">
        <v>1</v>
      </c>
      <c r="J585">
        <v>1617</v>
      </c>
      <c r="K585">
        <v>3</v>
      </c>
      <c r="L585" t="s">
        <v>39</v>
      </c>
      <c r="M585">
        <v>84</v>
      </c>
      <c r="N585">
        <v>3</v>
      </c>
      <c r="O585">
        <v>1</v>
      </c>
      <c r="P585" t="s">
        <v>50</v>
      </c>
      <c r="Q585">
        <v>1</v>
      </c>
      <c r="R585" t="s">
        <v>48</v>
      </c>
      <c r="S585">
        <v>3211</v>
      </c>
      <c r="T585">
        <v>22102</v>
      </c>
      <c r="U585">
        <v>1</v>
      </c>
      <c r="V585" t="s">
        <v>42</v>
      </c>
      <c r="W585" t="s">
        <v>43</v>
      </c>
      <c r="X585">
        <v>14</v>
      </c>
      <c r="Y585">
        <v>3</v>
      </c>
      <c r="Z585">
        <v>4</v>
      </c>
      <c r="AA585">
        <v>80</v>
      </c>
      <c r="AB585">
        <v>1</v>
      </c>
      <c r="AC585">
        <v>10</v>
      </c>
      <c r="AD585">
        <v>3</v>
      </c>
      <c r="AE585">
        <v>2</v>
      </c>
      <c r="AF585">
        <v>9</v>
      </c>
      <c r="AG585">
        <v>6</v>
      </c>
      <c r="AH585">
        <v>1</v>
      </c>
      <c r="AI585">
        <v>4</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34</v>
      </c>
      <c r="B593" t="s">
        <v>43</v>
      </c>
      <c r="C593" t="s">
        <v>44</v>
      </c>
      <c r="D593">
        <v>426</v>
      </c>
      <c r="E593" t="s">
        <v>45</v>
      </c>
      <c r="F593">
        <v>10</v>
      </c>
      <c r="G593">
        <v>4</v>
      </c>
      <c r="H593" t="s">
        <v>38</v>
      </c>
      <c r="I593">
        <v>1</v>
      </c>
      <c r="J593">
        <v>1615</v>
      </c>
      <c r="K593">
        <v>3</v>
      </c>
      <c r="L593" t="s">
        <v>46</v>
      </c>
      <c r="M593">
        <v>42</v>
      </c>
      <c r="N593">
        <v>4</v>
      </c>
      <c r="O593">
        <v>2</v>
      </c>
      <c r="P593" t="s">
        <v>53</v>
      </c>
      <c r="Q593">
        <v>4</v>
      </c>
      <c r="R593" t="s">
        <v>52</v>
      </c>
      <c r="S593">
        <v>4724</v>
      </c>
      <c r="T593">
        <v>17000</v>
      </c>
      <c r="U593">
        <v>1</v>
      </c>
      <c r="V593" t="s">
        <v>42</v>
      </c>
      <c r="W593" t="s">
        <v>43</v>
      </c>
      <c r="X593">
        <v>13</v>
      </c>
      <c r="Y593">
        <v>3</v>
      </c>
      <c r="Z593">
        <v>1</v>
      </c>
      <c r="AA593">
        <v>80</v>
      </c>
      <c r="AB593">
        <v>1</v>
      </c>
      <c r="AC593">
        <v>9</v>
      </c>
      <c r="AD593">
        <v>3</v>
      </c>
      <c r="AE593">
        <v>3</v>
      </c>
      <c r="AF593">
        <v>9</v>
      </c>
      <c r="AG593">
        <v>7</v>
      </c>
      <c r="AH593">
        <v>7</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559</v>
      </c>
      <c r="E601" t="s">
        <v>45</v>
      </c>
      <c r="F601">
        <v>12</v>
      </c>
      <c r="G601">
        <v>4</v>
      </c>
      <c r="H601" t="s">
        <v>38</v>
      </c>
      <c r="I601">
        <v>1</v>
      </c>
      <c r="J601">
        <v>1614</v>
      </c>
      <c r="K601">
        <v>3</v>
      </c>
      <c r="L601" t="s">
        <v>39</v>
      </c>
      <c r="M601">
        <v>76</v>
      </c>
      <c r="N601">
        <v>3</v>
      </c>
      <c r="O601">
        <v>2</v>
      </c>
      <c r="P601" t="s">
        <v>53</v>
      </c>
      <c r="Q601">
        <v>3</v>
      </c>
      <c r="R601" t="s">
        <v>48</v>
      </c>
      <c r="S601">
        <v>4663</v>
      </c>
      <c r="T601">
        <v>12421</v>
      </c>
      <c r="U601">
        <v>9</v>
      </c>
      <c r="V601" t="s">
        <v>42</v>
      </c>
      <c r="W601" t="s">
        <v>35</v>
      </c>
      <c r="X601">
        <v>12</v>
      </c>
      <c r="Y601">
        <v>3</v>
      </c>
      <c r="Z601">
        <v>2</v>
      </c>
      <c r="AA601">
        <v>80</v>
      </c>
      <c r="AB601">
        <v>2</v>
      </c>
      <c r="AC601">
        <v>7</v>
      </c>
      <c r="AD601">
        <v>2</v>
      </c>
      <c r="AE601">
        <v>3</v>
      </c>
      <c r="AF601">
        <v>3</v>
      </c>
      <c r="AG601">
        <v>2</v>
      </c>
      <c r="AH601">
        <v>1</v>
      </c>
      <c r="AI601">
        <v>1</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45</v>
      </c>
      <c r="B609" t="s">
        <v>43</v>
      </c>
      <c r="C609" t="s">
        <v>36</v>
      </c>
      <c r="D609">
        <v>1015</v>
      </c>
      <c r="E609" t="s">
        <v>45</v>
      </c>
      <c r="F609">
        <v>5</v>
      </c>
      <c r="G609">
        <v>5</v>
      </c>
      <c r="H609" t="s">
        <v>51</v>
      </c>
      <c r="I609">
        <v>1</v>
      </c>
      <c r="J609">
        <v>1611</v>
      </c>
      <c r="K609">
        <v>3</v>
      </c>
      <c r="L609" t="s">
        <v>39</v>
      </c>
      <c r="M609">
        <v>50</v>
      </c>
      <c r="N609">
        <v>1</v>
      </c>
      <c r="O609">
        <v>2</v>
      </c>
      <c r="P609" t="s">
        <v>50</v>
      </c>
      <c r="Q609">
        <v>1</v>
      </c>
      <c r="R609" t="s">
        <v>41</v>
      </c>
      <c r="S609">
        <v>5769</v>
      </c>
      <c r="T609">
        <v>23447</v>
      </c>
      <c r="U609">
        <v>1</v>
      </c>
      <c r="V609" t="s">
        <v>42</v>
      </c>
      <c r="W609" t="s">
        <v>35</v>
      </c>
      <c r="X609">
        <v>14</v>
      </c>
      <c r="Y609">
        <v>3</v>
      </c>
      <c r="Z609">
        <v>1</v>
      </c>
      <c r="AA609">
        <v>80</v>
      </c>
      <c r="AB609">
        <v>0</v>
      </c>
      <c r="AC609">
        <v>10</v>
      </c>
      <c r="AD609">
        <v>3</v>
      </c>
      <c r="AE609">
        <v>3</v>
      </c>
      <c r="AF609">
        <v>10</v>
      </c>
      <c r="AG609">
        <v>7</v>
      </c>
      <c r="AH609">
        <v>1</v>
      </c>
      <c r="AI609">
        <v>4</v>
      </c>
    </row>
    <row r="610" spans="1:35" x14ac:dyDescent="0.35">
      <c r="A610">
        <v>30</v>
      </c>
      <c r="B610" t="s">
        <v>43</v>
      </c>
      <c r="C610" t="s">
        <v>36</v>
      </c>
      <c r="D610">
        <v>241</v>
      </c>
      <c r="E610" t="s">
        <v>45</v>
      </c>
      <c r="F610">
        <v>7</v>
      </c>
      <c r="G610">
        <v>3</v>
      </c>
      <c r="H610" t="s">
        <v>51</v>
      </c>
      <c r="I610">
        <v>1</v>
      </c>
      <c r="J610">
        <v>1609</v>
      </c>
      <c r="K610">
        <v>2</v>
      </c>
      <c r="L610" t="s">
        <v>46</v>
      </c>
      <c r="M610">
        <v>48</v>
      </c>
      <c r="N610">
        <v>2</v>
      </c>
      <c r="O610">
        <v>1</v>
      </c>
      <c r="P610" t="s">
        <v>47</v>
      </c>
      <c r="Q610">
        <v>2</v>
      </c>
      <c r="R610" t="s">
        <v>48</v>
      </c>
      <c r="S610">
        <v>2141</v>
      </c>
      <c r="T610">
        <v>5348</v>
      </c>
      <c r="U610">
        <v>1</v>
      </c>
      <c r="V610" t="s">
        <v>42</v>
      </c>
      <c r="W610" t="s">
        <v>43</v>
      </c>
      <c r="X610">
        <v>12</v>
      </c>
      <c r="Y610">
        <v>3</v>
      </c>
      <c r="Z610">
        <v>2</v>
      </c>
      <c r="AA610">
        <v>80</v>
      </c>
      <c r="AB610">
        <v>1</v>
      </c>
      <c r="AC610">
        <v>6</v>
      </c>
      <c r="AD610">
        <v>3</v>
      </c>
      <c r="AE610">
        <v>2</v>
      </c>
      <c r="AF610">
        <v>6</v>
      </c>
      <c r="AG610">
        <v>4</v>
      </c>
      <c r="AH610">
        <v>1</v>
      </c>
      <c r="AI610">
        <v>1</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44</v>
      </c>
      <c r="B614" t="s">
        <v>43</v>
      </c>
      <c r="C614" t="s">
        <v>36</v>
      </c>
      <c r="D614">
        <v>1313</v>
      </c>
      <c r="E614" t="s">
        <v>45</v>
      </c>
      <c r="F614">
        <v>7</v>
      </c>
      <c r="G614">
        <v>3</v>
      </c>
      <c r="H614" t="s">
        <v>51</v>
      </c>
      <c r="I614">
        <v>1</v>
      </c>
      <c r="J614">
        <v>1608</v>
      </c>
      <c r="K614">
        <v>2</v>
      </c>
      <c r="L614" t="s">
        <v>39</v>
      </c>
      <c r="M614">
        <v>31</v>
      </c>
      <c r="N614">
        <v>3</v>
      </c>
      <c r="O614">
        <v>5</v>
      </c>
      <c r="P614" t="s">
        <v>58</v>
      </c>
      <c r="Q614">
        <v>4</v>
      </c>
      <c r="R614" t="s">
        <v>52</v>
      </c>
      <c r="S614">
        <v>19049</v>
      </c>
      <c r="T614">
        <v>3549</v>
      </c>
      <c r="U614">
        <v>0</v>
      </c>
      <c r="V614" t="s">
        <v>42</v>
      </c>
      <c r="W614" t="s">
        <v>35</v>
      </c>
      <c r="X614">
        <v>14</v>
      </c>
      <c r="Y614">
        <v>3</v>
      </c>
      <c r="Z614">
        <v>4</v>
      </c>
      <c r="AA614">
        <v>80</v>
      </c>
      <c r="AB614">
        <v>1</v>
      </c>
      <c r="AC614">
        <v>23</v>
      </c>
      <c r="AD614">
        <v>4</v>
      </c>
      <c r="AE614">
        <v>2</v>
      </c>
      <c r="AF614">
        <v>22</v>
      </c>
      <c r="AG614">
        <v>7</v>
      </c>
      <c r="AH614">
        <v>1</v>
      </c>
      <c r="AI614">
        <v>10</v>
      </c>
    </row>
    <row r="615" spans="1:35" x14ac:dyDescent="0.35">
      <c r="A615">
        <v>32</v>
      </c>
      <c r="B615" t="s">
        <v>43</v>
      </c>
      <c r="C615" t="s">
        <v>36</v>
      </c>
      <c r="D615">
        <v>634</v>
      </c>
      <c r="E615" t="s">
        <v>45</v>
      </c>
      <c r="F615">
        <v>5</v>
      </c>
      <c r="G615">
        <v>4</v>
      </c>
      <c r="H615" t="s">
        <v>49</v>
      </c>
      <c r="I615">
        <v>1</v>
      </c>
      <c r="J615">
        <v>1607</v>
      </c>
      <c r="K615">
        <v>2</v>
      </c>
      <c r="L615" t="s">
        <v>39</v>
      </c>
      <c r="M615">
        <v>35</v>
      </c>
      <c r="N615">
        <v>4</v>
      </c>
      <c r="O615">
        <v>1</v>
      </c>
      <c r="P615" t="s">
        <v>47</v>
      </c>
      <c r="Q615">
        <v>4</v>
      </c>
      <c r="R615" t="s">
        <v>48</v>
      </c>
      <c r="S615">
        <v>3312</v>
      </c>
      <c r="T615">
        <v>18783</v>
      </c>
      <c r="U615">
        <v>3</v>
      </c>
      <c r="V615" t="s">
        <v>42</v>
      </c>
      <c r="W615" t="s">
        <v>43</v>
      </c>
      <c r="X615">
        <v>17</v>
      </c>
      <c r="Y615">
        <v>3</v>
      </c>
      <c r="Z615">
        <v>4</v>
      </c>
      <c r="AA615">
        <v>80</v>
      </c>
      <c r="AB615">
        <v>2</v>
      </c>
      <c r="AC615">
        <v>6</v>
      </c>
      <c r="AD615">
        <v>3</v>
      </c>
      <c r="AE615">
        <v>3</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50</v>
      </c>
      <c r="B618" t="s">
        <v>43</v>
      </c>
      <c r="C618" t="s">
        <v>44</v>
      </c>
      <c r="D618">
        <v>1234</v>
      </c>
      <c r="E618" t="s">
        <v>45</v>
      </c>
      <c r="F618">
        <v>20</v>
      </c>
      <c r="G618">
        <v>5</v>
      </c>
      <c r="H618" t="s">
        <v>51</v>
      </c>
      <c r="I618">
        <v>1</v>
      </c>
      <c r="J618">
        <v>1606</v>
      </c>
      <c r="K618">
        <v>2</v>
      </c>
      <c r="L618" t="s">
        <v>46</v>
      </c>
      <c r="M618">
        <v>41</v>
      </c>
      <c r="N618">
        <v>3</v>
      </c>
      <c r="O618">
        <v>4</v>
      </c>
      <c r="P618" t="s">
        <v>54</v>
      </c>
      <c r="Q618">
        <v>3</v>
      </c>
      <c r="R618" t="s">
        <v>48</v>
      </c>
      <c r="S618">
        <v>11245</v>
      </c>
      <c r="T618">
        <v>20689</v>
      </c>
      <c r="U618">
        <v>2</v>
      </c>
      <c r="V618" t="s">
        <v>42</v>
      </c>
      <c r="W618" t="s">
        <v>35</v>
      </c>
      <c r="X618">
        <v>15</v>
      </c>
      <c r="Y618">
        <v>3</v>
      </c>
      <c r="Z618">
        <v>3</v>
      </c>
      <c r="AA618">
        <v>80</v>
      </c>
      <c r="AB618">
        <v>1</v>
      </c>
      <c r="AC618">
        <v>32</v>
      </c>
      <c r="AD618">
        <v>3</v>
      </c>
      <c r="AE618">
        <v>3</v>
      </c>
      <c r="AF618">
        <v>30</v>
      </c>
      <c r="AG618">
        <v>8</v>
      </c>
      <c r="AH618">
        <v>12</v>
      </c>
      <c r="AI618">
        <v>13</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22</v>
      </c>
      <c r="B621" t="s">
        <v>43</v>
      </c>
      <c r="C621" t="s">
        <v>55</v>
      </c>
      <c r="D621">
        <v>457</v>
      </c>
      <c r="E621" t="s">
        <v>45</v>
      </c>
      <c r="F621">
        <v>26</v>
      </c>
      <c r="G621">
        <v>2</v>
      </c>
      <c r="H621" t="s">
        <v>49</v>
      </c>
      <c r="I621">
        <v>1</v>
      </c>
      <c r="J621">
        <v>1605</v>
      </c>
      <c r="K621">
        <v>2</v>
      </c>
      <c r="L621" t="s">
        <v>39</v>
      </c>
      <c r="M621">
        <v>85</v>
      </c>
      <c r="N621">
        <v>2</v>
      </c>
      <c r="O621">
        <v>1</v>
      </c>
      <c r="P621" t="s">
        <v>47</v>
      </c>
      <c r="Q621">
        <v>3</v>
      </c>
      <c r="R621" t="s">
        <v>48</v>
      </c>
      <c r="S621">
        <v>2814</v>
      </c>
      <c r="T621">
        <v>10293</v>
      </c>
      <c r="U621">
        <v>1</v>
      </c>
      <c r="V621" t="s">
        <v>42</v>
      </c>
      <c r="W621" t="s">
        <v>35</v>
      </c>
      <c r="X621">
        <v>14</v>
      </c>
      <c r="Y621">
        <v>3</v>
      </c>
      <c r="Z621">
        <v>2</v>
      </c>
      <c r="AA621">
        <v>80</v>
      </c>
      <c r="AB621">
        <v>0</v>
      </c>
      <c r="AC621">
        <v>4</v>
      </c>
      <c r="AD621">
        <v>2</v>
      </c>
      <c r="AE621">
        <v>2</v>
      </c>
      <c r="AF621">
        <v>4</v>
      </c>
      <c r="AG621">
        <v>2</v>
      </c>
      <c r="AH621">
        <v>1</v>
      </c>
      <c r="AI621">
        <v>3</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28</v>
      </c>
      <c r="B623" t="s">
        <v>35</v>
      </c>
      <c r="C623" t="s">
        <v>36</v>
      </c>
      <c r="D623">
        <v>329</v>
      </c>
      <c r="E623" t="s">
        <v>45</v>
      </c>
      <c r="F623">
        <v>24</v>
      </c>
      <c r="G623">
        <v>3</v>
      </c>
      <c r="H623" t="s">
        <v>51</v>
      </c>
      <c r="I623">
        <v>1</v>
      </c>
      <c r="J623">
        <v>1604</v>
      </c>
      <c r="K623">
        <v>3</v>
      </c>
      <c r="L623" t="s">
        <v>46</v>
      </c>
      <c r="M623">
        <v>51</v>
      </c>
      <c r="N623">
        <v>3</v>
      </c>
      <c r="O623">
        <v>1</v>
      </c>
      <c r="P623" t="s">
        <v>50</v>
      </c>
      <c r="Q623">
        <v>2</v>
      </c>
      <c r="R623" t="s">
        <v>48</v>
      </c>
      <c r="S623">
        <v>2408</v>
      </c>
      <c r="T623">
        <v>7324</v>
      </c>
      <c r="U623">
        <v>1</v>
      </c>
      <c r="V623" t="s">
        <v>42</v>
      </c>
      <c r="W623" t="s">
        <v>35</v>
      </c>
      <c r="X623">
        <v>17</v>
      </c>
      <c r="Y623">
        <v>3</v>
      </c>
      <c r="Z623">
        <v>3</v>
      </c>
      <c r="AA623">
        <v>80</v>
      </c>
      <c r="AB623">
        <v>3</v>
      </c>
      <c r="AC623">
        <v>1</v>
      </c>
      <c r="AD623">
        <v>3</v>
      </c>
      <c r="AE623">
        <v>3</v>
      </c>
      <c r="AF623">
        <v>1</v>
      </c>
      <c r="AG623">
        <v>1</v>
      </c>
      <c r="AH623">
        <v>0</v>
      </c>
      <c r="AI623">
        <v>0</v>
      </c>
    </row>
    <row r="624" spans="1:35" x14ac:dyDescent="0.35">
      <c r="A624">
        <v>35</v>
      </c>
      <c r="B624" t="s">
        <v>43</v>
      </c>
      <c r="C624" t="s">
        <v>36</v>
      </c>
      <c r="D624">
        <v>1349</v>
      </c>
      <c r="E624" t="s">
        <v>45</v>
      </c>
      <c r="F624">
        <v>7</v>
      </c>
      <c r="G624">
        <v>2</v>
      </c>
      <c r="H624" t="s">
        <v>38</v>
      </c>
      <c r="I624">
        <v>1</v>
      </c>
      <c r="J624">
        <v>1601</v>
      </c>
      <c r="K624">
        <v>3</v>
      </c>
      <c r="L624" t="s">
        <v>46</v>
      </c>
      <c r="M624">
        <v>63</v>
      </c>
      <c r="N624">
        <v>2</v>
      </c>
      <c r="O624">
        <v>1</v>
      </c>
      <c r="P624" t="s">
        <v>50</v>
      </c>
      <c r="Q624">
        <v>4</v>
      </c>
      <c r="R624" t="s">
        <v>48</v>
      </c>
      <c r="S624">
        <v>2690</v>
      </c>
      <c r="T624">
        <v>7713</v>
      </c>
      <c r="U624">
        <v>1</v>
      </c>
      <c r="V624" t="s">
        <v>42</v>
      </c>
      <c r="W624" t="s">
        <v>43</v>
      </c>
      <c r="X624">
        <v>18</v>
      </c>
      <c r="Y624">
        <v>3</v>
      </c>
      <c r="Z624">
        <v>4</v>
      </c>
      <c r="AA624">
        <v>80</v>
      </c>
      <c r="AB624">
        <v>1</v>
      </c>
      <c r="AC624">
        <v>1</v>
      </c>
      <c r="AD624">
        <v>5</v>
      </c>
      <c r="AE624">
        <v>2</v>
      </c>
      <c r="AF624">
        <v>1</v>
      </c>
      <c r="AG624">
        <v>0</v>
      </c>
      <c r="AH624">
        <v>0</v>
      </c>
      <c r="AI624">
        <v>1</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43</v>
      </c>
      <c r="B626" t="s">
        <v>43</v>
      </c>
      <c r="C626" t="s">
        <v>36</v>
      </c>
      <c r="D626">
        <v>990</v>
      </c>
      <c r="E626" t="s">
        <v>45</v>
      </c>
      <c r="F626">
        <v>27</v>
      </c>
      <c r="G626">
        <v>3</v>
      </c>
      <c r="H626" t="s">
        <v>60</v>
      </c>
      <c r="I626">
        <v>1</v>
      </c>
      <c r="J626">
        <v>1599</v>
      </c>
      <c r="K626">
        <v>4</v>
      </c>
      <c r="L626" t="s">
        <v>46</v>
      </c>
      <c r="M626">
        <v>87</v>
      </c>
      <c r="N626">
        <v>4</v>
      </c>
      <c r="O626">
        <v>1</v>
      </c>
      <c r="P626" t="s">
        <v>50</v>
      </c>
      <c r="Q626">
        <v>2</v>
      </c>
      <c r="R626" t="s">
        <v>52</v>
      </c>
      <c r="S626">
        <v>4876</v>
      </c>
      <c r="T626">
        <v>5855</v>
      </c>
      <c r="U626">
        <v>5</v>
      </c>
      <c r="V626" t="s">
        <v>42</v>
      </c>
      <c r="W626" t="s">
        <v>43</v>
      </c>
      <c r="X626">
        <v>12</v>
      </c>
      <c r="Y626">
        <v>3</v>
      </c>
      <c r="Z626">
        <v>3</v>
      </c>
      <c r="AA626">
        <v>80</v>
      </c>
      <c r="AB626">
        <v>1</v>
      </c>
      <c r="AC626">
        <v>8</v>
      </c>
      <c r="AD626">
        <v>0</v>
      </c>
      <c r="AE626">
        <v>3</v>
      </c>
      <c r="AF626">
        <v>6</v>
      </c>
      <c r="AG626">
        <v>4</v>
      </c>
      <c r="AH626">
        <v>0</v>
      </c>
      <c r="AI626">
        <v>2</v>
      </c>
    </row>
    <row r="627" spans="1:35" x14ac:dyDescent="0.35">
      <c r="A627">
        <v>34</v>
      </c>
      <c r="B627" t="s">
        <v>43</v>
      </c>
      <c r="C627" t="s">
        <v>44</v>
      </c>
      <c r="D627">
        <v>653</v>
      </c>
      <c r="E627" t="s">
        <v>45</v>
      </c>
      <c r="F627">
        <v>10</v>
      </c>
      <c r="G627">
        <v>4</v>
      </c>
      <c r="H627" t="s">
        <v>60</v>
      </c>
      <c r="I627">
        <v>1</v>
      </c>
      <c r="J627">
        <v>1597</v>
      </c>
      <c r="K627">
        <v>4</v>
      </c>
      <c r="L627" t="s">
        <v>46</v>
      </c>
      <c r="M627">
        <v>92</v>
      </c>
      <c r="N627">
        <v>2</v>
      </c>
      <c r="O627">
        <v>2</v>
      </c>
      <c r="P627" t="s">
        <v>54</v>
      </c>
      <c r="Q627">
        <v>3</v>
      </c>
      <c r="R627" t="s">
        <v>48</v>
      </c>
      <c r="S627">
        <v>5063</v>
      </c>
      <c r="T627">
        <v>15332</v>
      </c>
      <c r="U627">
        <v>1</v>
      </c>
      <c r="V627" t="s">
        <v>42</v>
      </c>
      <c r="W627" t="s">
        <v>43</v>
      </c>
      <c r="X627">
        <v>14</v>
      </c>
      <c r="Y627">
        <v>3</v>
      </c>
      <c r="Z627">
        <v>2</v>
      </c>
      <c r="AA627">
        <v>80</v>
      </c>
      <c r="AB627">
        <v>1</v>
      </c>
      <c r="AC627">
        <v>8</v>
      </c>
      <c r="AD627">
        <v>3</v>
      </c>
      <c r="AE627">
        <v>2</v>
      </c>
      <c r="AF627">
        <v>8</v>
      </c>
      <c r="AG627">
        <v>2</v>
      </c>
      <c r="AH627">
        <v>7</v>
      </c>
      <c r="AI627">
        <v>7</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35</v>
      </c>
      <c r="B630" t="s">
        <v>43</v>
      </c>
      <c r="C630" t="s">
        <v>36</v>
      </c>
      <c r="D630">
        <v>750</v>
      </c>
      <c r="E630" t="s">
        <v>45</v>
      </c>
      <c r="F630">
        <v>28</v>
      </c>
      <c r="G630">
        <v>3</v>
      </c>
      <c r="H630" t="s">
        <v>38</v>
      </c>
      <c r="I630">
        <v>1</v>
      </c>
      <c r="J630">
        <v>1596</v>
      </c>
      <c r="K630">
        <v>2</v>
      </c>
      <c r="L630" t="s">
        <v>46</v>
      </c>
      <c r="M630">
        <v>46</v>
      </c>
      <c r="N630">
        <v>4</v>
      </c>
      <c r="O630">
        <v>2</v>
      </c>
      <c r="P630" t="s">
        <v>50</v>
      </c>
      <c r="Q630">
        <v>3</v>
      </c>
      <c r="R630" t="s">
        <v>48</v>
      </c>
      <c r="S630">
        <v>3407</v>
      </c>
      <c r="T630">
        <v>25348</v>
      </c>
      <c r="U630">
        <v>1</v>
      </c>
      <c r="V630" t="s">
        <v>42</v>
      </c>
      <c r="W630" t="s">
        <v>43</v>
      </c>
      <c r="X630">
        <v>17</v>
      </c>
      <c r="Y630">
        <v>3</v>
      </c>
      <c r="Z630">
        <v>4</v>
      </c>
      <c r="AA630">
        <v>80</v>
      </c>
      <c r="AB630">
        <v>2</v>
      </c>
      <c r="AC630">
        <v>10</v>
      </c>
      <c r="AD630">
        <v>3</v>
      </c>
      <c r="AE630">
        <v>2</v>
      </c>
      <c r="AF630">
        <v>10</v>
      </c>
      <c r="AG630">
        <v>9</v>
      </c>
      <c r="AH630">
        <v>6</v>
      </c>
      <c r="AI630">
        <v>8</v>
      </c>
    </row>
    <row r="631" spans="1:35" x14ac:dyDescent="0.35">
      <c r="A631">
        <v>42</v>
      </c>
      <c r="B631" t="s">
        <v>43</v>
      </c>
      <c r="C631" t="s">
        <v>36</v>
      </c>
      <c r="D631">
        <v>1059</v>
      </c>
      <c r="E631" t="s">
        <v>45</v>
      </c>
      <c r="F631">
        <v>9</v>
      </c>
      <c r="G631">
        <v>2</v>
      </c>
      <c r="H631" t="s">
        <v>49</v>
      </c>
      <c r="I631">
        <v>1</v>
      </c>
      <c r="J631">
        <v>1595</v>
      </c>
      <c r="K631">
        <v>4</v>
      </c>
      <c r="L631" t="s">
        <v>46</v>
      </c>
      <c r="M631">
        <v>93</v>
      </c>
      <c r="N631">
        <v>2</v>
      </c>
      <c r="O631">
        <v>5</v>
      </c>
      <c r="P631" t="s">
        <v>56</v>
      </c>
      <c r="Q631">
        <v>4</v>
      </c>
      <c r="R631" t="s">
        <v>41</v>
      </c>
      <c r="S631">
        <v>19613</v>
      </c>
      <c r="T631">
        <v>26362</v>
      </c>
      <c r="U631">
        <v>8</v>
      </c>
      <c r="V631" t="s">
        <v>42</v>
      </c>
      <c r="W631" t="s">
        <v>43</v>
      </c>
      <c r="X631">
        <v>22</v>
      </c>
      <c r="Y631">
        <v>4</v>
      </c>
      <c r="Z631">
        <v>4</v>
      </c>
      <c r="AA631">
        <v>80</v>
      </c>
      <c r="AB631">
        <v>0</v>
      </c>
      <c r="AC631">
        <v>24</v>
      </c>
      <c r="AD631">
        <v>2</v>
      </c>
      <c r="AE631">
        <v>3</v>
      </c>
      <c r="AF631">
        <v>1</v>
      </c>
      <c r="AG631">
        <v>0</v>
      </c>
      <c r="AH631">
        <v>0</v>
      </c>
      <c r="AI631">
        <v>1</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44</v>
      </c>
      <c r="D635">
        <v>1302</v>
      </c>
      <c r="E635" t="s">
        <v>45</v>
      </c>
      <c r="F635">
        <v>6</v>
      </c>
      <c r="G635">
        <v>4</v>
      </c>
      <c r="H635" t="s">
        <v>38</v>
      </c>
      <c r="I635">
        <v>1</v>
      </c>
      <c r="J635">
        <v>1594</v>
      </c>
      <c r="K635">
        <v>1</v>
      </c>
      <c r="L635" t="s">
        <v>46</v>
      </c>
      <c r="M635">
        <v>80</v>
      </c>
      <c r="N635">
        <v>4</v>
      </c>
      <c r="O635">
        <v>2</v>
      </c>
      <c r="P635" t="s">
        <v>50</v>
      </c>
      <c r="Q635">
        <v>1</v>
      </c>
      <c r="R635" t="s">
        <v>48</v>
      </c>
      <c r="S635">
        <v>5562</v>
      </c>
      <c r="T635">
        <v>19711</v>
      </c>
      <c r="U635">
        <v>3</v>
      </c>
      <c r="V635" t="s">
        <v>42</v>
      </c>
      <c r="W635" t="s">
        <v>35</v>
      </c>
      <c r="X635">
        <v>13</v>
      </c>
      <c r="Y635">
        <v>3</v>
      </c>
      <c r="Z635">
        <v>4</v>
      </c>
      <c r="AA635">
        <v>80</v>
      </c>
      <c r="AB635">
        <v>1</v>
      </c>
      <c r="AC635">
        <v>9</v>
      </c>
      <c r="AD635">
        <v>3</v>
      </c>
      <c r="AE635">
        <v>3</v>
      </c>
      <c r="AF635">
        <v>3</v>
      </c>
      <c r="AG635">
        <v>2</v>
      </c>
      <c r="AH635">
        <v>0</v>
      </c>
      <c r="AI635">
        <v>2</v>
      </c>
    </row>
    <row r="636" spans="1:35" x14ac:dyDescent="0.35">
      <c r="A636">
        <v>23</v>
      </c>
      <c r="B636" t="s">
        <v>43</v>
      </c>
      <c r="C636" t="s">
        <v>36</v>
      </c>
      <c r="D636">
        <v>977</v>
      </c>
      <c r="E636" t="s">
        <v>45</v>
      </c>
      <c r="F636">
        <v>10</v>
      </c>
      <c r="G636">
        <v>3</v>
      </c>
      <c r="H636" t="s">
        <v>60</v>
      </c>
      <c r="I636">
        <v>1</v>
      </c>
      <c r="J636">
        <v>1592</v>
      </c>
      <c r="K636">
        <v>4</v>
      </c>
      <c r="L636" t="s">
        <v>46</v>
      </c>
      <c r="M636">
        <v>45</v>
      </c>
      <c r="N636">
        <v>4</v>
      </c>
      <c r="O636">
        <v>1</v>
      </c>
      <c r="P636" t="s">
        <v>47</v>
      </c>
      <c r="Q636">
        <v>3</v>
      </c>
      <c r="R636" t="s">
        <v>48</v>
      </c>
      <c r="S636">
        <v>2073</v>
      </c>
      <c r="T636">
        <v>12826</v>
      </c>
      <c r="U636">
        <v>2</v>
      </c>
      <c r="V636" t="s">
        <v>42</v>
      </c>
      <c r="W636" t="s">
        <v>43</v>
      </c>
      <c r="X636">
        <v>16</v>
      </c>
      <c r="Y636">
        <v>3</v>
      </c>
      <c r="Z636">
        <v>4</v>
      </c>
      <c r="AA636">
        <v>80</v>
      </c>
      <c r="AB636">
        <v>1</v>
      </c>
      <c r="AC636">
        <v>4</v>
      </c>
      <c r="AD636">
        <v>2</v>
      </c>
      <c r="AE636">
        <v>3</v>
      </c>
      <c r="AF636">
        <v>2</v>
      </c>
      <c r="AG636">
        <v>2</v>
      </c>
      <c r="AH636">
        <v>2</v>
      </c>
      <c r="AI636">
        <v>2</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29</v>
      </c>
      <c r="B640" t="s">
        <v>43</v>
      </c>
      <c r="C640" t="s">
        <v>44</v>
      </c>
      <c r="D640">
        <v>995</v>
      </c>
      <c r="E640" t="s">
        <v>45</v>
      </c>
      <c r="F640">
        <v>2</v>
      </c>
      <c r="G640">
        <v>1</v>
      </c>
      <c r="H640" t="s">
        <v>38</v>
      </c>
      <c r="I640">
        <v>1</v>
      </c>
      <c r="J640">
        <v>1590</v>
      </c>
      <c r="K640">
        <v>1</v>
      </c>
      <c r="L640" t="s">
        <v>46</v>
      </c>
      <c r="M640">
        <v>87</v>
      </c>
      <c r="N640">
        <v>3</v>
      </c>
      <c r="O640">
        <v>2</v>
      </c>
      <c r="P640" t="s">
        <v>54</v>
      </c>
      <c r="Q640">
        <v>4</v>
      </c>
      <c r="R640" t="s">
        <v>52</v>
      </c>
      <c r="S640">
        <v>8853</v>
      </c>
      <c r="T640">
        <v>24483</v>
      </c>
      <c r="U640">
        <v>1</v>
      </c>
      <c r="V640" t="s">
        <v>42</v>
      </c>
      <c r="W640" t="s">
        <v>43</v>
      </c>
      <c r="X640">
        <v>19</v>
      </c>
      <c r="Y640">
        <v>3</v>
      </c>
      <c r="Z640">
        <v>4</v>
      </c>
      <c r="AA640">
        <v>80</v>
      </c>
      <c r="AB640">
        <v>1</v>
      </c>
      <c r="AC640">
        <v>6</v>
      </c>
      <c r="AD640">
        <v>0</v>
      </c>
      <c r="AE640">
        <v>4</v>
      </c>
      <c r="AF640">
        <v>6</v>
      </c>
      <c r="AG640">
        <v>4</v>
      </c>
      <c r="AH640">
        <v>1</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35</v>
      </c>
      <c r="B643" t="s">
        <v>43</v>
      </c>
      <c r="C643" t="s">
        <v>36</v>
      </c>
      <c r="D643">
        <v>670</v>
      </c>
      <c r="E643" t="s">
        <v>45</v>
      </c>
      <c r="F643">
        <v>10</v>
      </c>
      <c r="G643">
        <v>4</v>
      </c>
      <c r="H643" t="s">
        <v>51</v>
      </c>
      <c r="I643">
        <v>1</v>
      </c>
      <c r="J643">
        <v>1587</v>
      </c>
      <c r="K643">
        <v>1</v>
      </c>
      <c r="L643" t="s">
        <v>39</v>
      </c>
      <c r="M643">
        <v>51</v>
      </c>
      <c r="N643">
        <v>3</v>
      </c>
      <c r="O643">
        <v>2</v>
      </c>
      <c r="P643" t="s">
        <v>54</v>
      </c>
      <c r="Q643">
        <v>3</v>
      </c>
      <c r="R643" t="s">
        <v>41</v>
      </c>
      <c r="S643">
        <v>6142</v>
      </c>
      <c r="T643">
        <v>4223</v>
      </c>
      <c r="U643">
        <v>3</v>
      </c>
      <c r="V643" t="s">
        <v>42</v>
      </c>
      <c r="W643" t="s">
        <v>35</v>
      </c>
      <c r="X643">
        <v>16</v>
      </c>
      <c r="Y643">
        <v>3</v>
      </c>
      <c r="Z643">
        <v>3</v>
      </c>
      <c r="AA643">
        <v>80</v>
      </c>
      <c r="AB643">
        <v>0</v>
      </c>
      <c r="AC643">
        <v>10</v>
      </c>
      <c r="AD643">
        <v>4</v>
      </c>
      <c r="AE643">
        <v>3</v>
      </c>
      <c r="AF643">
        <v>5</v>
      </c>
      <c r="AG643">
        <v>2</v>
      </c>
      <c r="AH643">
        <v>0</v>
      </c>
      <c r="AI643">
        <v>4</v>
      </c>
    </row>
    <row r="644" spans="1:35" x14ac:dyDescent="0.35">
      <c r="A644">
        <v>29</v>
      </c>
      <c r="B644" t="s">
        <v>43</v>
      </c>
      <c r="C644" t="s">
        <v>36</v>
      </c>
      <c r="D644">
        <v>1370</v>
      </c>
      <c r="E644" t="s">
        <v>45</v>
      </c>
      <c r="F644">
        <v>3</v>
      </c>
      <c r="G644">
        <v>1</v>
      </c>
      <c r="H644" t="s">
        <v>51</v>
      </c>
      <c r="I644">
        <v>1</v>
      </c>
      <c r="J644">
        <v>1586</v>
      </c>
      <c r="K644">
        <v>2</v>
      </c>
      <c r="L644" t="s">
        <v>46</v>
      </c>
      <c r="M644">
        <v>87</v>
      </c>
      <c r="N644">
        <v>3</v>
      </c>
      <c r="O644">
        <v>1</v>
      </c>
      <c r="P644" t="s">
        <v>50</v>
      </c>
      <c r="Q644">
        <v>1</v>
      </c>
      <c r="R644" t="s">
        <v>41</v>
      </c>
      <c r="S644">
        <v>4723</v>
      </c>
      <c r="T644">
        <v>16213</v>
      </c>
      <c r="U644">
        <v>1</v>
      </c>
      <c r="V644" t="s">
        <v>42</v>
      </c>
      <c r="W644" t="s">
        <v>35</v>
      </c>
      <c r="X644">
        <v>18</v>
      </c>
      <c r="Y644">
        <v>3</v>
      </c>
      <c r="Z644">
        <v>4</v>
      </c>
      <c r="AA644">
        <v>80</v>
      </c>
      <c r="AB644">
        <v>0</v>
      </c>
      <c r="AC644">
        <v>10</v>
      </c>
      <c r="AD644">
        <v>3</v>
      </c>
      <c r="AE644">
        <v>3</v>
      </c>
      <c r="AF644">
        <v>10</v>
      </c>
      <c r="AG644">
        <v>9</v>
      </c>
      <c r="AH644">
        <v>1</v>
      </c>
      <c r="AI644">
        <v>5</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26</v>
      </c>
      <c r="B647" t="s">
        <v>43</v>
      </c>
      <c r="C647" t="s">
        <v>36</v>
      </c>
      <c r="D647">
        <v>474</v>
      </c>
      <c r="E647" t="s">
        <v>45</v>
      </c>
      <c r="F647">
        <v>3</v>
      </c>
      <c r="G647">
        <v>3</v>
      </c>
      <c r="H647" t="s">
        <v>38</v>
      </c>
      <c r="I647">
        <v>1</v>
      </c>
      <c r="J647">
        <v>1581</v>
      </c>
      <c r="K647">
        <v>1</v>
      </c>
      <c r="L647" t="s">
        <v>39</v>
      </c>
      <c r="M647">
        <v>89</v>
      </c>
      <c r="N647">
        <v>3</v>
      </c>
      <c r="O647">
        <v>1</v>
      </c>
      <c r="P647" t="s">
        <v>47</v>
      </c>
      <c r="Q647">
        <v>4</v>
      </c>
      <c r="R647" t="s">
        <v>48</v>
      </c>
      <c r="S647">
        <v>2061</v>
      </c>
      <c r="T647">
        <v>11133</v>
      </c>
      <c r="U647">
        <v>1</v>
      </c>
      <c r="V647" t="s">
        <v>42</v>
      </c>
      <c r="W647" t="s">
        <v>43</v>
      </c>
      <c r="X647">
        <v>21</v>
      </c>
      <c r="Y647">
        <v>4</v>
      </c>
      <c r="Z647">
        <v>1</v>
      </c>
      <c r="AA647">
        <v>80</v>
      </c>
      <c r="AB647">
        <v>0</v>
      </c>
      <c r="AC647">
        <v>1</v>
      </c>
      <c r="AD647">
        <v>5</v>
      </c>
      <c r="AE647">
        <v>3</v>
      </c>
      <c r="AF647">
        <v>1</v>
      </c>
      <c r="AG647">
        <v>0</v>
      </c>
      <c r="AH647">
        <v>0</v>
      </c>
      <c r="AI647">
        <v>0</v>
      </c>
    </row>
    <row r="648" spans="1:35" x14ac:dyDescent="0.35">
      <c r="A648">
        <v>34</v>
      </c>
      <c r="B648" t="s">
        <v>43</v>
      </c>
      <c r="C648" t="s">
        <v>36</v>
      </c>
      <c r="D648">
        <v>1351</v>
      </c>
      <c r="E648" t="s">
        <v>45</v>
      </c>
      <c r="F648">
        <v>1</v>
      </c>
      <c r="G648">
        <v>4</v>
      </c>
      <c r="H648" t="s">
        <v>38</v>
      </c>
      <c r="I648">
        <v>1</v>
      </c>
      <c r="J648">
        <v>1580</v>
      </c>
      <c r="K648">
        <v>2</v>
      </c>
      <c r="L648" t="s">
        <v>46</v>
      </c>
      <c r="M648">
        <v>45</v>
      </c>
      <c r="N648">
        <v>3</v>
      </c>
      <c r="O648">
        <v>2</v>
      </c>
      <c r="P648" t="s">
        <v>47</v>
      </c>
      <c r="Q648">
        <v>4</v>
      </c>
      <c r="R648" t="s">
        <v>48</v>
      </c>
      <c r="S648">
        <v>5484</v>
      </c>
      <c r="T648">
        <v>13008</v>
      </c>
      <c r="U648">
        <v>9</v>
      </c>
      <c r="V648" t="s">
        <v>42</v>
      </c>
      <c r="W648" t="s">
        <v>43</v>
      </c>
      <c r="X648">
        <v>17</v>
      </c>
      <c r="Y648">
        <v>3</v>
      </c>
      <c r="Z648">
        <v>2</v>
      </c>
      <c r="AA648">
        <v>80</v>
      </c>
      <c r="AB648">
        <v>1</v>
      </c>
      <c r="AC648">
        <v>9</v>
      </c>
      <c r="AD648">
        <v>3</v>
      </c>
      <c r="AE648">
        <v>2</v>
      </c>
      <c r="AF648">
        <v>2</v>
      </c>
      <c r="AG648">
        <v>2</v>
      </c>
      <c r="AH648">
        <v>2</v>
      </c>
      <c r="AI648">
        <v>1</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34</v>
      </c>
      <c r="B650" t="s">
        <v>43</v>
      </c>
      <c r="C650" t="s">
        <v>36</v>
      </c>
      <c r="D650">
        <v>479</v>
      </c>
      <c r="E650" t="s">
        <v>45</v>
      </c>
      <c r="F650">
        <v>7</v>
      </c>
      <c r="G650">
        <v>4</v>
      </c>
      <c r="H650" t="s">
        <v>51</v>
      </c>
      <c r="I650">
        <v>1</v>
      </c>
      <c r="J650">
        <v>1577</v>
      </c>
      <c r="K650">
        <v>1</v>
      </c>
      <c r="L650" t="s">
        <v>46</v>
      </c>
      <c r="M650">
        <v>35</v>
      </c>
      <c r="N650">
        <v>3</v>
      </c>
      <c r="O650">
        <v>1</v>
      </c>
      <c r="P650" t="s">
        <v>47</v>
      </c>
      <c r="Q650">
        <v>4</v>
      </c>
      <c r="R650" t="s">
        <v>41</v>
      </c>
      <c r="S650">
        <v>2972</v>
      </c>
      <c r="T650">
        <v>22061</v>
      </c>
      <c r="U650">
        <v>1</v>
      </c>
      <c r="V650" t="s">
        <v>42</v>
      </c>
      <c r="W650" t="s">
        <v>43</v>
      </c>
      <c r="X650">
        <v>13</v>
      </c>
      <c r="Y650">
        <v>3</v>
      </c>
      <c r="Z650">
        <v>3</v>
      </c>
      <c r="AA650">
        <v>80</v>
      </c>
      <c r="AB650">
        <v>0</v>
      </c>
      <c r="AC650">
        <v>1</v>
      </c>
      <c r="AD650">
        <v>4</v>
      </c>
      <c r="AE650">
        <v>1</v>
      </c>
      <c r="AF650">
        <v>1</v>
      </c>
      <c r="AG650">
        <v>0</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48</v>
      </c>
      <c r="B653" t="s">
        <v>43</v>
      </c>
      <c r="C653" t="s">
        <v>36</v>
      </c>
      <c r="D653">
        <v>1108</v>
      </c>
      <c r="E653" t="s">
        <v>45</v>
      </c>
      <c r="F653">
        <v>15</v>
      </c>
      <c r="G653">
        <v>4</v>
      </c>
      <c r="H653" t="s">
        <v>49</v>
      </c>
      <c r="I653">
        <v>1</v>
      </c>
      <c r="J653">
        <v>1576</v>
      </c>
      <c r="K653">
        <v>3</v>
      </c>
      <c r="L653" t="s">
        <v>39</v>
      </c>
      <c r="M653">
        <v>65</v>
      </c>
      <c r="N653">
        <v>3</v>
      </c>
      <c r="O653">
        <v>1</v>
      </c>
      <c r="P653" t="s">
        <v>47</v>
      </c>
      <c r="Q653">
        <v>1</v>
      </c>
      <c r="R653" t="s">
        <v>48</v>
      </c>
      <c r="S653">
        <v>2367</v>
      </c>
      <c r="T653">
        <v>16530</v>
      </c>
      <c r="U653">
        <v>8</v>
      </c>
      <c r="V653" t="s">
        <v>42</v>
      </c>
      <c r="W653" t="s">
        <v>43</v>
      </c>
      <c r="X653">
        <v>12</v>
      </c>
      <c r="Y653">
        <v>3</v>
      </c>
      <c r="Z653">
        <v>4</v>
      </c>
      <c r="AA653">
        <v>80</v>
      </c>
      <c r="AB653">
        <v>1</v>
      </c>
      <c r="AC653">
        <v>10</v>
      </c>
      <c r="AD653">
        <v>3</v>
      </c>
      <c r="AE653">
        <v>2</v>
      </c>
      <c r="AF653">
        <v>8</v>
      </c>
      <c r="AG653">
        <v>2</v>
      </c>
      <c r="AH653">
        <v>7</v>
      </c>
      <c r="AI653">
        <v>6</v>
      </c>
    </row>
    <row r="654" spans="1:35" x14ac:dyDescent="0.35">
      <c r="A654">
        <v>32</v>
      </c>
      <c r="B654" t="s">
        <v>43</v>
      </c>
      <c r="C654" t="s">
        <v>55</v>
      </c>
      <c r="D654">
        <v>1200</v>
      </c>
      <c r="E654" t="s">
        <v>45</v>
      </c>
      <c r="F654">
        <v>1</v>
      </c>
      <c r="G654">
        <v>4</v>
      </c>
      <c r="H654" t="s">
        <v>60</v>
      </c>
      <c r="I654">
        <v>1</v>
      </c>
      <c r="J654">
        <v>1574</v>
      </c>
      <c r="K654">
        <v>4</v>
      </c>
      <c r="L654" t="s">
        <v>46</v>
      </c>
      <c r="M654">
        <v>62</v>
      </c>
      <c r="N654">
        <v>3</v>
      </c>
      <c r="O654">
        <v>2</v>
      </c>
      <c r="P654" t="s">
        <v>47</v>
      </c>
      <c r="Q654">
        <v>1</v>
      </c>
      <c r="R654" t="s">
        <v>48</v>
      </c>
      <c r="S654">
        <v>4087</v>
      </c>
      <c r="T654">
        <v>25174</v>
      </c>
      <c r="U654">
        <v>4</v>
      </c>
      <c r="V654" t="s">
        <v>42</v>
      </c>
      <c r="W654" t="s">
        <v>43</v>
      </c>
      <c r="X654">
        <v>14</v>
      </c>
      <c r="Y654">
        <v>3</v>
      </c>
      <c r="Z654">
        <v>2</v>
      </c>
      <c r="AA654">
        <v>80</v>
      </c>
      <c r="AB654">
        <v>1</v>
      </c>
      <c r="AC654">
        <v>9</v>
      </c>
      <c r="AD654">
        <v>3</v>
      </c>
      <c r="AE654">
        <v>2</v>
      </c>
      <c r="AF654">
        <v>6</v>
      </c>
      <c r="AG654">
        <v>5</v>
      </c>
      <c r="AH654">
        <v>1</v>
      </c>
      <c r="AI654">
        <v>2</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38</v>
      </c>
      <c r="B656" t="s">
        <v>35</v>
      </c>
      <c r="C656" t="s">
        <v>36</v>
      </c>
      <c r="D656">
        <v>903</v>
      </c>
      <c r="E656" t="s">
        <v>45</v>
      </c>
      <c r="F656">
        <v>2</v>
      </c>
      <c r="G656">
        <v>3</v>
      </c>
      <c r="H656" t="s">
        <v>51</v>
      </c>
      <c r="I656">
        <v>1</v>
      </c>
      <c r="J656">
        <v>1573</v>
      </c>
      <c r="K656">
        <v>3</v>
      </c>
      <c r="L656" t="s">
        <v>46</v>
      </c>
      <c r="M656">
        <v>81</v>
      </c>
      <c r="N656">
        <v>3</v>
      </c>
      <c r="O656">
        <v>2</v>
      </c>
      <c r="P656" t="s">
        <v>53</v>
      </c>
      <c r="Q656">
        <v>2</v>
      </c>
      <c r="R656" t="s">
        <v>48</v>
      </c>
      <c r="S656">
        <v>4855</v>
      </c>
      <c r="T656">
        <v>7653</v>
      </c>
      <c r="U656">
        <v>4</v>
      </c>
      <c r="V656" t="s">
        <v>42</v>
      </c>
      <c r="W656" t="s">
        <v>43</v>
      </c>
      <c r="X656">
        <v>11</v>
      </c>
      <c r="Y656">
        <v>3</v>
      </c>
      <c r="Z656">
        <v>1</v>
      </c>
      <c r="AA656">
        <v>80</v>
      </c>
      <c r="AB656">
        <v>2</v>
      </c>
      <c r="AC656">
        <v>7</v>
      </c>
      <c r="AD656">
        <v>2</v>
      </c>
      <c r="AE656">
        <v>3</v>
      </c>
      <c r="AF656">
        <v>5</v>
      </c>
      <c r="AG656">
        <v>2</v>
      </c>
      <c r="AH656">
        <v>1</v>
      </c>
      <c r="AI656">
        <v>4</v>
      </c>
    </row>
    <row r="657" spans="1:35" x14ac:dyDescent="0.35">
      <c r="A657">
        <v>53</v>
      </c>
      <c r="B657" t="s">
        <v>35</v>
      </c>
      <c r="C657" t="s">
        <v>36</v>
      </c>
      <c r="D657">
        <v>607</v>
      </c>
      <c r="E657" t="s">
        <v>45</v>
      </c>
      <c r="F657">
        <v>2</v>
      </c>
      <c r="G657">
        <v>5</v>
      </c>
      <c r="H657" t="s">
        <v>60</v>
      </c>
      <c r="I657">
        <v>1</v>
      </c>
      <c r="J657">
        <v>1572</v>
      </c>
      <c r="K657">
        <v>3</v>
      </c>
      <c r="L657" t="s">
        <v>39</v>
      </c>
      <c r="M657">
        <v>78</v>
      </c>
      <c r="N657">
        <v>2</v>
      </c>
      <c r="O657">
        <v>3</v>
      </c>
      <c r="P657" t="s">
        <v>53</v>
      </c>
      <c r="Q657">
        <v>4</v>
      </c>
      <c r="R657" t="s">
        <v>48</v>
      </c>
      <c r="S657">
        <v>10169</v>
      </c>
      <c r="T657">
        <v>14618</v>
      </c>
      <c r="U657">
        <v>0</v>
      </c>
      <c r="V657" t="s">
        <v>42</v>
      </c>
      <c r="W657" t="s">
        <v>43</v>
      </c>
      <c r="X657">
        <v>16</v>
      </c>
      <c r="Y657">
        <v>3</v>
      </c>
      <c r="Z657">
        <v>2</v>
      </c>
      <c r="AA657">
        <v>80</v>
      </c>
      <c r="AB657">
        <v>1</v>
      </c>
      <c r="AC657">
        <v>34</v>
      </c>
      <c r="AD657">
        <v>4</v>
      </c>
      <c r="AE657">
        <v>3</v>
      </c>
      <c r="AF657">
        <v>33</v>
      </c>
      <c r="AG657">
        <v>7</v>
      </c>
      <c r="AH657">
        <v>1</v>
      </c>
      <c r="AI657">
        <v>9</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35</v>
      </c>
      <c r="B661" t="s">
        <v>35</v>
      </c>
      <c r="C661" t="s">
        <v>36</v>
      </c>
      <c r="D661">
        <v>104</v>
      </c>
      <c r="E661" t="s">
        <v>45</v>
      </c>
      <c r="F661">
        <v>2</v>
      </c>
      <c r="G661">
        <v>3</v>
      </c>
      <c r="H661" t="s">
        <v>38</v>
      </c>
      <c r="I661">
        <v>1</v>
      </c>
      <c r="J661">
        <v>1569</v>
      </c>
      <c r="K661">
        <v>1</v>
      </c>
      <c r="L661" t="s">
        <v>39</v>
      </c>
      <c r="M661">
        <v>69</v>
      </c>
      <c r="N661">
        <v>3</v>
      </c>
      <c r="O661">
        <v>1</v>
      </c>
      <c r="P661" t="s">
        <v>50</v>
      </c>
      <c r="Q661">
        <v>1</v>
      </c>
      <c r="R661" t="s">
        <v>52</v>
      </c>
      <c r="S661">
        <v>2074</v>
      </c>
      <c r="T661">
        <v>26619</v>
      </c>
      <c r="U661">
        <v>1</v>
      </c>
      <c r="V661" t="s">
        <v>42</v>
      </c>
      <c r="W661" t="s">
        <v>35</v>
      </c>
      <c r="X661">
        <v>12</v>
      </c>
      <c r="Y661">
        <v>3</v>
      </c>
      <c r="Z661">
        <v>4</v>
      </c>
      <c r="AA661">
        <v>80</v>
      </c>
      <c r="AB661">
        <v>1</v>
      </c>
      <c r="AC661">
        <v>1</v>
      </c>
      <c r="AD661">
        <v>2</v>
      </c>
      <c r="AE661">
        <v>3</v>
      </c>
      <c r="AF661">
        <v>1</v>
      </c>
      <c r="AG661">
        <v>0</v>
      </c>
      <c r="AH661">
        <v>0</v>
      </c>
      <c r="AI661">
        <v>0</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35</v>
      </c>
      <c r="B664" t="s">
        <v>43</v>
      </c>
      <c r="C664" t="s">
        <v>36</v>
      </c>
      <c r="D664">
        <v>992</v>
      </c>
      <c r="E664" t="s">
        <v>45</v>
      </c>
      <c r="F664">
        <v>1</v>
      </c>
      <c r="G664">
        <v>3</v>
      </c>
      <c r="H664" t="s">
        <v>51</v>
      </c>
      <c r="I664">
        <v>1</v>
      </c>
      <c r="J664">
        <v>1564</v>
      </c>
      <c r="K664">
        <v>4</v>
      </c>
      <c r="L664" t="s">
        <v>46</v>
      </c>
      <c r="M664">
        <v>68</v>
      </c>
      <c r="N664">
        <v>2</v>
      </c>
      <c r="O664">
        <v>1</v>
      </c>
      <c r="P664" t="s">
        <v>50</v>
      </c>
      <c r="Q664">
        <v>1</v>
      </c>
      <c r="R664" t="s">
        <v>41</v>
      </c>
      <c r="S664">
        <v>2450</v>
      </c>
      <c r="T664">
        <v>21731</v>
      </c>
      <c r="U664">
        <v>1</v>
      </c>
      <c r="V664" t="s">
        <v>42</v>
      </c>
      <c r="W664" t="s">
        <v>43</v>
      </c>
      <c r="X664">
        <v>19</v>
      </c>
      <c r="Y664">
        <v>3</v>
      </c>
      <c r="Z664">
        <v>2</v>
      </c>
      <c r="AA664">
        <v>80</v>
      </c>
      <c r="AB664">
        <v>0</v>
      </c>
      <c r="AC664">
        <v>3</v>
      </c>
      <c r="AD664">
        <v>3</v>
      </c>
      <c r="AE664">
        <v>3</v>
      </c>
      <c r="AF664">
        <v>3</v>
      </c>
      <c r="AG664">
        <v>0</v>
      </c>
      <c r="AH664">
        <v>1</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29</v>
      </c>
      <c r="B667" t="s">
        <v>43</v>
      </c>
      <c r="C667" t="s">
        <v>36</v>
      </c>
      <c r="D667">
        <v>598</v>
      </c>
      <c r="E667" t="s">
        <v>45</v>
      </c>
      <c r="F667">
        <v>9</v>
      </c>
      <c r="G667">
        <v>3</v>
      </c>
      <c r="H667" t="s">
        <v>38</v>
      </c>
      <c r="I667">
        <v>1</v>
      </c>
      <c r="J667">
        <v>1558</v>
      </c>
      <c r="K667">
        <v>3</v>
      </c>
      <c r="L667" t="s">
        <v>46</v>
      </c>
      <c r="M667">
        <v>91</v>
      </c>
      <c r="N667">
        <v>4</v>
      </c>
      <c r="O667">
        <v>1</v>
      </c>
      <c r="P667" t="s">
        <v>47</v>
      </c>
      <c r="Q667">
        <v>3</v>
      </c>
      <c r="R667" t="s">
        <v>48</v>
      </c>
      <c r="S667">
        <v>2451</v>
      </c>
      <c r="T667">
        <v>22376</v>
      </c>
      <c r="U667">
        <v>6</v>
      </c>
      <c r="V667" t="s">
        <v>42</v>
      </c>
      <c r="W667" t="s">
        <v>43</v>
      </c>
      <c r="X667">
        <v>18</v>
      </c>
      <c r="Y667">
        <v>3</v>
      </c>
      <c r="Z667">
        <v>1</v>
      </c>
      <c r="AA667">
        <v>80</v>
      </c>
      <c r="AB667">
        <v>2</v>
      </c>
      <c r="AC667">
        <v>5</v>
      </c>
      <c r="AD667">
        <v>2</v>
      </c>
      <c r="AE667">
        <v>2</v>
      </c>
      <c r="AF667">
        <v>1</v>
      </c>
      <c r="AG667">
        <v>0</v>
      </c>
      <c r="AH667">
        <v>0</v>
      </c>
      <c r="AI667">
        <v>0</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32</v>
      </c>
      <c r="B674" t="s">
        <v>43</v>
      </c>
      <c r="C674" t="s">
        <v>36</v>
      </c>
      <c r="D674">
        <v>824</v>
      </c>
      <c r="E674" t="s">
        <v>45</v>
      </c>
      <c r="F674">
        <v>5</v>
      </c>
      <c r="G674">
        <v>2</v>
      </c>
      <c r="H674" t="s">
        <v>38</v>
      </c>
      <c r="I674">
        <v>1</v>
      </c>
      <c r="J674">
        <v>1555</v>
      </c>
      <c r="K674">
        <v>4</v>
      </c>
      <c r="L674" t="s">
        <v>39</v>
      </c>
      <c r="M674">
        <v>67</v>
      </c>
      <c r="N674">
        <v>2</v>
      </c>
      <c r="O674">
        <v>2</v>
      </c>
      <c r="P674" t="s">
        <v>47</v>
      </c>
      <c r="Q674">
        <v>2</v>
      </c>
      <c r="R674" t="s">
        <v>48</v>
      </c>
      <c r="S674">
        <v>5878</v>
      </c>
      <c r="T674">
        <v>15624</v>
      </c>
      <c r="U674">
        <v>3</v>
      </c>
      <c r="V674" t="s">
        <v>42</v>
      </c>
      <c r="W674" t="s">
        <v>43</v>
      </c>
      <c r="X674">
        <v>12</v>
      </c>
      <c r="Y674">
        <v>3</v>
      </c>
      <c r="Z674">
        <v>1</v>
      </c>
      <c r="AA674">
        <v>80</v>
      </c>
      <c r="AB674">
        <v>1</v>
      </c>
      <c r="AC674">
        <v>12</v>
      </c>
      <c r="AD674">
        <v>2</v>
      </c>
      <c r="AE674">
        <v>3</v>
      </c>
      <c r="AF674">
        <v>7</v>
      </c>
      <c r="AG674">
        <v>1</v>
      </c>
      <c r="AH674">
        <v>2</v>
      </c>
      <c r="AI674">
        <v>5</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45</v>
      </c>
      <c r="B677" t="s">
        <v>43</v>
      </c>
      <c r="C677" t="s">
        <v>36</v>
      </c>
      <c r="D677">
        <v>538</v>
      </c>
      <c r="E677" t="s">
        <v>45</v>
      </c>
      <c r="F677">
        <v>1</v>
      </c>
      <c r="G677">
        <v>4</v>
      </c>
      <c r="H677" t="s">
        <v>60</v>
      </c>
      <c r="I677">
        <v>1</v>
      </c>
      <c r="J677">
        <v>1553</v>
      </c>
      <c r="K677">
        <v>1</v>
      </c>
      <c r="L677" t="s">
        <v>46</v>
      </c>
      <c r="M677">
        <v>66</v>
      </c>
      <c r="N677">
        <v>3</v>
      </c>
      <c r="O677">
        <v>3</v>
      </c>
      <c r="P677" t="s">
        <v>54</v>
      </c>
      <c r="Q677">
        <v>2</v>
      </c>
      <c r="R677" t="s">
        <v>52</v>
      </c>
      <c r="S677">
        <v>7441</v>
      </c>
      <c r="T677">
        <v>20933</v>
      </c>
      <c r="U677">
        <v>1</v>
      </c>
      <c r="V677" t="s">
        <v>42</v>
      </c>
      <c r="W677" t="s">
        <v>43</v>
      </c>
      <c r="X677">
        <v>12</v>
      </c>
      <c r="Y677">
        <v>3</v>
      </c>
      <c r="Z677">
        <v>1</v>
      </c>
      <c r="AA677">
        <v>80</v>
      </c>
      <c r="AB677">
        <v>3</v>
      </c>
      <c r="AC677">
        <v>10</v>
      </c>
      <c r="AD677">
        <v>4</v>
      </c>
      <c r="AE677">
        <v>3</v>
      </c>
      <c r="AF677">
        <v>10</v>
      </c>
      <c r="AG677">
        <v>8</v>
      </c>
      <c r="AH677">
        <v>7</v>
      </c>
      <c r="AI677">
        <v>7</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40</v>
      </c>
      <c r="B681" t="s">
        <v>43</v>
      </c>
      <c r="C681" t="s">
        <v>55</v>
      </c>
      <c r="D681">
        <v>1142</v>
      </c>
      <c r="E681" t="s">
        <v>45</v>
      </c>
      <c r="F681">
        <v>8</v>
      </c>
      <c r="G681">
        <v>2</v>
      </c>
      <c r="H681" t="s">
        <v>38</v>
      </c>
      <c r="I681">
        <v>1</v>
      </c>
      <c r="J681">
        <v>1552</v>
      </c>
      <c r="K681">
        <v>4</v>
      </c>
      <c r="L681" t="s">
        <v>46</v>
      </c>
      <c r="M681">
        <v>72</v>
      </c>
      <c r="N681">
        <v>3</v>
      </c>
      <c r="O681">
        <v>2</v>
      </c>
      <c r="P681" t="s">
        <v>54</v>
      </c>
      <c r="Q681">
        <v>4</v>
      </c>
      <c r="R681" t="s">
        <v>52</v>
      </c>
      <c r="S681">
        <v>4069</v>
      </c>
      <c r="T681">
        <v>8841</v>
      </c>
      <c r="U681">
        <v>3</v>
      </c>
      <c r="V681" t="s">
        <v>42</v>
      </c>
      <c r="W681" t="s">
        <v>35</v>
      </c>
      <c r="X681">
        <v>18</v>
      </c>
      <c r="Y681">
        <v>3</v>
      </c>
      <c r="Z681">
        <v>3</v>
      </c>
      <c r="AA681">
        <v>80</v>
      </c>
      <c r="AB681">
        <v>0</v>
      </c>
      <c r="AC681">
        <v>8</v>
      </c>
      <c r="AD681">
        <v>2</v>
      </c>
      <c r="AE681">
        <v>3</v>
      </c>
      <c r="AF681">
        <v>2</v>
      </c>
      <c r="AG681">
        <v>2</v>
      </c>
      <c r="AH681">
        <v>2</v>
      </c>
      <c r="AI681">
        <v>2</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24</v>
      </c>
      <c r="B685" t="s">
        <v>43</v>
      </c>
      <c r="C685" t="s">
        <v>36</v>
      </c>
      <c r="D685">
        <v>350</v>
      </c>
      <c r="E685" t="s">
        <v>45</v>
      </c>
      <c r="F685">
        <v>21</v>
      </c>
      <c r="G685">
        <v>2</v>
      </c>
      <c r="H685" t="s">
        <v>60</v>
      </c>
      <c r="I685">
        <v>1</v>
      </c>
      <c r="J685">
        <v>1551</v>
      </c>
      <c r="K685">
        <v>3</v>
      </c>
      <c r="L685" t="s">
        <v>46</v>
      </c>
      <c r="M685">
        <v>57</v>
      </c>
      <c r="N685">
        <v>2</v>
      </c>
      <c r="O685">
        <v>1</v>
      </c>
      <c r="P685" t="s">
        <v>50</v>
      </c>
      <c r="Q685">
        <v>1</v>
      </c>
      <c r="R685" t="s">
        <v>52</v>
      </c>
      <c r="S685">
        <v>2296</v>
      </c>
      <c r="T685">
        <v>10036</v>
      </c>
      <c r="U685">
        <v>0</v>
      </c>
      <c r="V685" t="s">
        <v>42</v>
      </c>
      <c r="W685" t="s">
        <v>43</v>
      </c>
      <c r="X685">
        <v>14</v>
      </c>
      <c r="Y685">
        <v>3</v>
      </c>
      <c r="Z685">
        <v>2</v>
      </c>
      <c r="AA685">
        <v>80</v>
      </c>
      <c r="AB685">
        <v>3</v>
      </c>
      <c r="AC685">
        <v>2</v>
      </c>
      <c r="AD685">
        <v>3</v>
      </c>
      <c r="AE685">
        <v>3</v>
      </c>
      <c r="AF685">
        <v>1</v>
      </c>
      <c r="AG685">
        <v>1</v>
      </c>
      <c r="AH685">
        <v>0</v>
      </c>
      <c r="AI685">
        <v>0</v>
      </c>
    </row>
    <row r="686" spans="1:35" x14ac:dyDescent="0.35">
      <c r="A686">
        <v>33</v>
      </c>
      <c r="B686" t="s">
        <v>43</v>
      </c>
      <c r="C686" t="s">
        <v>36</v>
      </c>
      <c r="D686">
        <v>589</v>
      </c>
      <c r="E686" t="s">
        <v>45</v>
      </c>
      <c r="F686">
        <v>28</v>
      </c>
      <c r="G686">
        <v>4</v>
      </c>
      <c r="H686" t="s">
        <v>38</v>
      </c>
      <c r="I686">
        <v>1</v>
      </c>
      <c r="J686">
        <v>1549</v>
      </c>
      <c r="K686">
        <v>2</v>
      </c>
      <c r="L686" t="s">
        <v>46</v>
      </c>
      <c r="M686">
        <v>79</v>
      </c>
      <c r="N686">
        <v>3</v>
      </c>
      <c r="O686">
        <v>2</v>
      </c>
      <c r="P686" t="s">
        <v>50</v>
      </c>
      <c r="Q686">
        <v>3</v>
      </c>
      <c r="R686" t="s">
        <v>48</v>
      </c>
      <c r="S686">
        <v>5207</v>
      </c>
      <c r="T686">
        <v>22949</v>
      </c>
      <c r="U686">
        <v>1</v>
      </c>
      <c r="V686" t="s">
        <v>42</v>
      </c>
      <c r="W686" t="s">
        <v>35</v>
      </c>
      <c r="X686">
        <v>12</v>
      </c>
      <c r="Y686">
        <v>3</v>
      </c>
      <c r="Z686">
        <v>2</v>
      </c>
      <c r="AA686">
        <v>80</v>
      </c>
      <c r="AB686">
        <v>1</v>
      </c>
      <c r="AC686">
        <v>15</v>
      </c>
      <c r="AD686">
        <v>3</v>
      </c>
      <c r="AE686">
        <v>3</v>
      </c>
      <c r="AF686">
        <v>15</v>
      </c>
      <c r="AG686">
        <v>14</v>
      </c>
      <c r="AH686">
        <v>5</v>
      </c>
      <c r="AI686">
        <v>7</v>
      </c>
    </row>
    <row r="687" spans="1:35" x14ac:dyDescent="0.35">
      <c r="A687">
        <v>42</v>
      </c>
      <c r="B687" t="s">
        <v>43</v>
      </c>
      <c r="C687" t="s">
        <v>44</v>
      </c>
      <c r="D687">
        <v>288</v>
      </c>
      <c r="E687" t="s">
        <v>45</v>
      </c>
      <c r="F687">
        <v>2</v>
      </c>
      <c r="G687">
        <v>3</v>
      </c>
      <c r="H687" t="s">
        <v>38</v>
      </c>
      <c r="I687">
        <v>1</v>
      </c>
      <c r="J687">
        <v>1547</v>
      </c>
      <c r="K687">
        <v>4</v>
      </c>
      <c r="L687" t="s">
        <v>46</v>
      </c>
      <c r="M687">
        <v>40</v>
      </c>
      <c r="N687">
        <v>3</v>
      </c>
      <c r="O687">
        <v>3</v>
      </c>
      <c r="P687" t="s">
        <v>54</v>
      </c>
      <c r="Q687">
        <v>4</v>
      </c>
      <c r="R687" t="s">
        <v>48</v>
      </c>
      <c r="S687">
        <v>10124</v>
      </c>
      <c r="T687">
        <v>18611</v>
      </c>
      <c r="U687">
        <v>2</v>
      </c>
      <c r="V687" t="s">
        <v>42</v>
      </c>
      <c r="W687" t="s">
        <v>35</v>
      </c>
      <c r="X687">
        <v>14</v>
      </c>
      <c r="Y687">
        <v>3</v>
      </c>
      <c r="Z687">
        <v>3</v>
      </c>
      <c r="AA687">
        <v>80</v>
      </c>
      <c r="AB687">
        <v>1</v>
      </c>
      <c r="AC687">
        <v>24</v>
      </c>
      <c r="AD687">
        <v>3</v>
      </c>
      <c r="AE687">
        <v>1</v>
      </c>
      <c r="AF687">
        <v>20</v>
      </c>
      <c r="AG687">
        <v>8</v>
      </c>
      <c r="AH687">
        <v>13</v>
      </c>
      <c r="AI687">
        <v>9</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45</v>
      </c>
      <c r="B690" t="s">
        <v>43</v>
      </c>
      <c r="C690" t="s">
        <v>36</v>
      </c>
      <c r="D690">
        <v>950</v>
      </c>
      <c r="E690" t="s">
        <v>45</v>
      </c>
      <c r="F690">
        <v>28</v>
      </c>
      <c r="G690">
        <v>3</v>
      </c>
      <c r="H690" t="s">
        <v>60</v>
      </c>
      <c r="I690">
        <v>1</v>
      </c>
      <c r="J690">
        <v>1546</v>
      </c>
      <c r="K690">
        <v>4</v>
      </c>
      <c r="L690" t="s">
        <v>46</v>
      </c>
      <c r="M690">
        <v>97</v>
      </c>
      <c r="N690">
        <v>3</v>
      </c>
      <c r="O690">
        <v>1</v>
      </c>
      <c r="P690" t="s">
        <v>47</v>
      </c>
      <c r="Q690">
        <v>4</v>
      </c>
      <c r="R690" t="s">
        <v>48</v>
      </c>
      <c r="S690">
        <v>2132</v>
      </c>
      <c r="T690">
        <v>4585</v>
      </c>
      <c r="U690">
        <v>4</v>
      </c>
      <c r="V690" t="s">
        <v>42</v>
      </c>
      <c r="W690" t="s">
        <v>43</v>
      </c>
      <c r="X690">
        <v>20</v>
      </c>
      <c r="Y690">
        <v>4</v>
      </c>
      <c r="Z690">
        <v>4</v>
      </c>
      <c r="AA690">
        <v>80</v>
      </c>
      <c r="AB690">
        <v>1</v>
      </c>
      <c r="AC690">
        <v>8</v>
      </c>
      <c r="AD690">
        <v>3</v>
      </c>
      <c r="AE690">
        <v>3</v>
      </c>
      <c r="AF690">
        <v>5</v>
      </c>
      <c r="AG690">
        <v>4</v>
      </c>
      <c r="AH690">
        <v>0</v>
      </c>
      <c r="AI690">
        <v>3</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33</v>
      </c>
      <c r="B695" t="s">
        <v>43</v>
      </c>
      <c r="C695" t="s">
        <v>36</v>
      </c>
      <c r="D695">
        <v>575</v>
      </c>
      <c r="E695" t="s">
        <v>45</v>
      </c>
      <c r="F695">
        <v>25</v>
      </c>
      <c r="G695">
        <v>3</v>
      </c>
      <c r="H695" t="s">
        <v>38</v>
      </c>
      <c r="I695">
        <v>1</v>
      </c>
      <c r="J695">
        <v>1545</v>
      </c>
      <c r="K695">
        <v>4</v>
      </c>
      <c r="L695" t="s">
        <v>46</v>
      </c>
      <c r="M695">
        <v>44</v>
      </c>
      <c r="N695">
        <v>2</v>
      </c>
      <c r="O695">
        <v>2</v>
      </c>
      <c r="P695" t="s">
        <v>53</v>
      </c>
      <c r="Q695">
        <v>2</v>
      </c>
      <c r="R695" t="s">
        <v>41</v>
      </c>
      <c r="S695">
        <v>4320</v>
      </c>
      <c r="T695">
        <v>24152</v>
      </c>
      <c r="U695">
        <v>1</v>
      </c>
      <c r="V695" t="s">
        <v>42</v>
      </c>
      <c r="W695" t="s">
        <v>43</v>
      </c>
      <c r="X695">
        <v>13</v>
      </c>
      <c r="Y695">
        <v>3</v>
      </c>
      <c r="Z695">
        <v>4</v>
      </c>
      <c r="AA695">
        <v>80</v>
      </c>
      <c r="AB695">
        <v>0</v>
      </c>
      <c r="AC695">
        <v>5</v>
      </c>
      <c r="AD695">
        <v>2</v>
      </c>
      <c r="AE695">
        <v>3</v>
      </c>
      <c r="AF695">
        <v>5</v>
      </c>
      <c r="AG695">
        <v>3</v>
      </c>
      <c r="AH695">
        <v>0</v>
      </c>
      <c r="AI695">
        <v>2</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29</v>
      </c>
      <c r="B697" t="s">
        <v>43</v>
      </c>
      <c r="C697" t="s">
        <v>36</v>
      </c>
      <c r="D697">
        <v>441</v>
      </c>
      <c r="E697" t="s">
        <v>45</v>
      </c>
      <c r="F697">
        <v>8</v>
      </c>
      <c r="G697">
        <v>1</v>
      </c>
      <c r="H697" t="s">
        <v>49</v>
      </c>
      <c r="I697">
        <v>1</v>
      </c>
      <c r="J697">
        <v>1544</v>
      </c>
      <c r="K697">
        <v>3</v>
      </c>
      <c r="L697" t="s">
        <v>39</v>
      </c>
      <c r="M697">
        <v>39</v>
      </c>
      <c r="N697">
        <v>1</v>
      </c>
      <c r="O697">
        <v>2</v>
      </c>
      <c r="P697" t="s">
        <v>54</v>
      </c>
      <c r="Q697">
        <v>1</v>
      </c>
      <c r="R697" t="s">
        <v>48</v>
      </c>
      <c r="S697">
        <v>9715</v>
      </c>
      <c r="T697">
        <v>7288</v>
      </c>
      <c r="U697">
        <v>3</v>
      </c>
      <c r="V697" t="s">
        <v>42</v>
      </c>
      <c r="W697" t="s">
        <v>43</v>
      </c>
      <c r="X697">
        <v>13</v>
      </c>
      <c r="Y697">
        <v>3</v>
      </c>
      <c r="Z697">
        <v>3</v>
      </c>
      <c r="AA697">
        <v>80</v>
      </c>
      <c r="AB697">
        <v>1</v>
      </c>
      <c r="AC697">
        <v>9</v>
      </c>
      <c r="AD697">
        <v>3</v>
      </c>
      <c r="AE697">
        <v>3</v>
      </c>
      <c r="AF697">
        <v>7</v>
      </c>
      <c r="AG697">
        <v>7</v>
      </c>
      <c r="AH697">
        <v>0</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37</v>
      </c>
      <c r="B699" t="s">
        <v>43</v>
      </c>
      <c r="C699" t="s">
        <v>36</v>
      </c>
      <c r="D699">
        <v>674</v>
      </c>
      <c r="E699" t="s">
        <v>45</v>
      </c>
      <c r="F699">
        <v>13</v>
      </c>
      <c r="G699">
        <v>3</v>
      </c>
      <c r="H699" t="s">
        <v>51</v>
      </c>
      <c r="I699">
        <v>1</v>
      </c>
      <c r="J699">
        <v>1543</v>
      </c>
      <c r="K699">
        <v>1</v>
      </c>
      <c r="L699" t="s">
        <v>46</v>
      </c>
      <c r="M699">
        <v>47</v>
      </c>
      <c r="N699">
        <v>3</v>
      </c>
      <c r="O699">
        <v>2</v>
      </c>
      <c r="P699" t="s">
        <v>47</v>
      </c>
      <c r="Q699">
        <v>4</v>
      </c>
      <c r="R699" t="s">
        <v>48</v>
      </c>
      <c r="S699">
        <v>4285</v>
      </c>
      <c r="T699">
        <v>3031</v>
      </c>
      <c r="U699">
        <v>1</v>
      </c>
      <c r="V699" t="s">
        <v>42</v>
      </c>
      <c r="W699" t="s">
        <v>43</v>
      </c>
      <c r="X699">
        <v>17</v>
      </c>
      <c r="Y699">
        <v>3</v>
      </c>
      <c r="Z699">
        <v>1</v>
      </c>
      <c r="AA699">
        <v>80</v>
      </c>
      <c r="AB699">
        <v>0</v>
      </c>
      <c r="AC699">
        <v>10</v>
      </c>
      <c r="AD699">
        <v>2</v>
      </c>
      <c r="AE699">
        <v>3</v>
      </c>
      <c r="AF699">
        <v>10</v>
      </c>
      <c r="AG699">
        <v>8</v>
      </c>
      <c r="AH699">
        <v>3</v>
      </c>
      <c r="AI699">
        <v>7</v>
      </c>
    </row>
    <row r="700" spans="1:35" x14ac:dyDescent="0.35">
      <c r="A700">
        <v>42</v>
      </c>
      <c r="B700" t="s">
        <v>43</v>
      </c>
      <c r="C700" t="s">
        <v>36</v>
      </c>
      <c r="D700">
        <v>1210</v>
      </c>
      <c r="E700" t="s">
        <v>45</v>
      </c>
      <c r="F700">
        <v>2</v>
      </c>
      <c r="G700">
        <v>3</v>
      </c>
      <c r="H700" t="s">
        <v>51</v>
      </c>
      <c r="I700">
        <v>1</v>
      </c>
      <c r="J700">
        <v>1542</v>
      </c>
      <c r="K700">
        <v>3</v>
      </c>
      <c r="L700" t="s">
        <v>46</v>
      </c>
      <c r="M700">
        <v>68</v>
      </c>
      <c r="N700">
        <v>2</v>
      </c>
      <c r="O700">
        <v>1</v>
      </c>
      <c r="P700" t="s">
        <v>50</v>
      </c>
      <c r="Q700">
        <v>2</v>
      </c>
      <c r="R700" t="s">
        <v>48</v>
      </c>
      <c r="S700">
        <v>4841</v>
      </c>
      <c r="T700">
        <v>24052</v>
      </c>
      <c r="U700">
        <v>4</v>
      </c>
      <c r="V700" t="s">
        <v>42</v>
      </c>
      <c r="W700" t="s">
        <v>43</v>
      </c>
      <c r="X700">
        <v>14</v>
      </c>
      <c r="Y700">
        <v>3</v>
      </c>
      <c r="Z700">
        <v>2</v>
      </c>
      <c r="AA700">
        <v>80</v>
      </c>
      <c r="AB700">
        <v>1</v>
      </c>
      <c r="AC700">
        <v>4</v>
      </c>
      <c r="AD700">
        <v>3</v>
      </c>
      <c r="AE700">
        <v>3</v>
      </c>
      <c r="AF700">
        <v>1</v>
      </c>
      <c r="AG700">
        <v>0</v>
      </c>
      <c r="AH700">
        <v>0</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50</v>
      </c>
      <c r="B703" t="s">
        <v>43</v>
      </c>
      <c r="C703" t="s">
        <v>44</v>
      </c>
      <c r="D703">
        <v>333</v>
      </c>
      <c r="E703" t="s">
        <v>45</v>
      </c>
      <c r="F703">
        <v>22</v>
      </c>
      <c r="G703">
        <v>5</v>
      </c>
      <c r="H703" t="s">
        <v>51</v>
      </c>
      <c r="I703">
        <v>1</v>
      </c>
      <c r="J703">
        <v>1539</v>
      </c>
      <c r="K703">
        <v>3</v>
      </c>
      <c r="L703" t="s">
        <v>46</v>
      </c>
      <c r="M703">
        <v>88</v>
      </c>
      <c r="N703">
        <v>1</v>
      </c>
      <c r="O703">
        <v>4</v>
      </c>
      <c r="P703" t="s">
        <v>58</v>
      </c>
      <c r="Q703">
        <v>4</v>
      </c>
      <c r="R703" t="s">
        <v>41</v>
      </c>
      <c r="S703">
        <v>14411</v>
      </c>
      <c r="T703">
        <v>24450</v>
      </c>
      <c r="U703">
        <v>1</v>
      </c>
      <c r="V703" t="s">
        <v>42</v>
      </c>
      <c r="W703" t="s">
        <v>35</v>
      </c>
      <c r="X703">
        <v>13</v>
      </c>
      <c r="Y703">
        <v>3</v>
      </c>
      <c r="Z703">
        <v>4</v>
      </c>
      <c r="AA703">
        <v>80</v>
      </c>
      <c r="AB703">
        <v>0</v>
      </c>
      <c r="AC703">
        <v>32</v>
      </c>
      <c r="AD703">
        <v>2</v>
      </c>
      <c r="AE703">
        <v>3</v>
      </c>
      <c r="AF703">
        <v>32</v>
      </c>
      <c r="AG703">
        <v>6</v>
      </c>
      <c r="AH703">
        <v>13</v>
      </c>
      <c r="AI703">
        <v>9</v>
      </c>
    </row>
    <row r="704" spans="1:35" x14ac:dyDescent="0.35">
      <c r="A704">
        <v>31</v>
      </c>
      <c r="B704" t="s">
        <v>35</v>
      </c>
      <c r="C704" t="s">
        <v>44</v>
      </c>
      <c r="D704">
        <v>561</v>
      </c>
      <c r="E704" t="s">
        <v>45</v>
      </c>
      <c r="F704">
        <v>3</v>
      </c>
      <c r="G704">
        <v>3</v>
      </c>
      <c r="H704" t="s">
        <v>38</v>
      </c>
      <c r="I704">
        <v>1</v>
      </c>
      <c r="J704">
        <v>1537</v>
      </c>
      <c r="K704">
        <v>4</v>
      </c>
      <c r="L704" t="s">
        <v>39</v>
      </c>
      <c r="M704">
        <v>33</v>
      </c>
      <c r="N704">
        <v>3</v>
      </c>
      <c r="O704">
        <v>1</v>
      </c>
      <c r="P704" t="s">
        <v>47</v>
      </c>
      <c r="Q704">
        <v>3</v>
      </c>
      <c r="R704" t="s">
        <v>41</v>
      </c>
      <c r="S704">
        <v>4084</v>
      </c>
      <c r="T704">
        <v>4156</v>
      </c>
      <c r="U704">
        <v>1</v>
      </c>
      <c r="V704" t="s">
        <v>42</v>
      </c>
      <c r="W704" t="s">
        <v>43</v>
      </c>
      <c r="X704">
        <v>12</v>
      </c>
      <c r="Y704">
        <v>3</v>
      </c>
      <c r="Z704">
        <v>1</v>
      </c>
      <c r="AA704">
        <v>80</v>
      </c>
      <c r="AB704">
        <v>0</v>
      </c>
      <c r="AC704">
        <v>7</v>
      </c>
      <c r="AD704">
        <v>2</v>
      </c>
      <c r="AE704">
        <v>1</v>
      </c>
      <c r="AF704">
        <v>7</v>
      </c>
      <c r="AG704">
        <v>2</v>
      </c>
      <c r="AH704">
        <v>7</v>
      </c>
      <c r="AI704">
        <v>7</v>
      </c>
    </row>
    <row r="705" spans="1:35" x14ac:dyDescent="0.35">
      <c r="A705">
        <v>40</v>
      </c>
      <c r="B705" t="s">
        <v>35</v>
      </c>
      <c r="C705" t="s">
        <v>36</v>
      </c>
      <c r="D705">
        <v>676</v>
      </c>
      <c r="E705" t="s">
        <v>45</v>
      </c>
      <c r="F705">
        <v>9</v>
      </c>
      <c r="G705">
        <v>4</v>
      </c>
      <c r="H705" t="s">
        <v>38</v>
      </c>
      <c r="I705">
        <v>1</v>
      </c>
      <c r="J705">
        <v>1534</v>
      </c>
      <c r="K705">
        <v>4</v>
      </c>
      <c r="L705" t="s">
        <v>46</v>
      </c>
      <c r="M705">
        <v>86</v>
      </c>
      <c r="N705">
        <v>3</v>
      </c>
      <c r="O705">
        <v>1</v>
      </c>
      <c r="P705" t="s">
        <v>50</v>
      </c>
      <c r="Q705">
        <v>1</v>
      </c>
      <c r="R705" t="s">
        <v>41</v>
      </c>
      <c r="S705">
        <v>2018</v>
      </c>
      <c r="T705">
        <v>21831</v>
      </c>
      <c r="U705">
        <v>3</v>
      </c>
      <c r="V705" t="s">
        <v>42</v>
      </c>
      <c r="W705" t="s">
        <v>43</v>
      </c>
      <c r="X705">
        <v>14</v>
      </c>
      <c r="Y705">
        <v>3</v>
      </c>
      <c r="Z705">
        <v>2</v>
      </c>
      <c r="AA705">
        <v>80</v>
      </c>
      <c r="AB705">
        <v>0</v>
      </c>
      <c r="AC705">
        <v>15</v>
      </c>
      <c r="AD705">
        <v>3</v>
      </c>
      <c r="AE705">
        <v>1</v>
      </c>
      <c r="AF705">
        <v>5</v>
      </c>
      <c r="AG705">
        <v>4</v>
      </c>
      <c r="AH705">
        <v>1</v>
      </c>
      <c r="AI705">
        <v>0</v>
      </c>
    </row>
    <row r="706" spans="1:35" x14ac:dyDescent="0.35">
      <c r="A706">
        <v>23</v>
      </c>
      <c r="B706" t="s">
        <v>43</v>
      </c>
      <c r="C706" t="s">
        <v>36</v>
      </c>
      <c r="D706">
        <v>507</v>
      </c>
      <c r="E706" t="s">
        <v>45</v>
      </c>
      <c r="F706">
        <v>20</v>
      </c>
      <c r="G706">
        <v>1</v>
      </c>
      <c r="H706" t="s">
        <v>38</v>
      </c>
      <c r="I706">
        <v>1</v>
      </c>
      <c r="J706">
        <v>1533</v>
      </c>
      <c r="K706">
        <v>1</v>
      </c>
      <c r="L706" t="s">
        <v>46</v>
      </c>
      <c r="M706">
        <v>97</v>
      </c>
      <c r="N706">
        <v>3</v>
      </c>
      <c r="O706">
        <v>2</v>
      </c>
      <c r="P706" t="s">
        <v>50</v>
      </c>
      <c r="Q706">
        <v>3</v>
      </c>
      <c r="R706" t="s">
        <v>41</v>
      </c>
      <c r="S706">
        <v>2272</v>
      </c>
      <c r="T706">
        <v>24812</v>
      </c>
      <c r="U706">
        <v>0</v>
      </c>
      <c r="V706" t="s">
        <v>42</v>
      </c>
      <c r="W706" t="s">
        <v>43</v>
      </c>
      <c r="X706">
        <v>14</v>
      </c>
      <c r="Y706">
        <v>3</v>
      </c>
      <c r="Z706">
        <v>2</v>
      </c>
      <c r="AA706">
        <v>80</v>
      </c>
      <c r="AB706">
        <v>0</v>
      </c>
      <c r="AC706">
        <v>5</v>
      </c>
      <c r="AD706">
        <v>2</v>
      </c>
      <c r="AE706">
        <v>3</v>
      </c>
      <c r="AF706">
        <v>4</v>
      </c>
      <c r="AG706">
        <v>3</v>
      </c>
      <c r="AH706">
        <v>1</v>
      </c>
      <c r="AI706">
        <v>2</v>
      </c>
    </row>
    <row r="707" spans="1:35" x14ac:dyDescent="0.35">
      <c r="A707">
        <v>35</v>
      </c>
      <c r="B707" t="s">
        <v>43</v>
      </c>
      <c r="C707" t="s">
        <v>36</v>
      </c>
      <c r="D707">
        <v>1029</v>
      </c>
      <c r="E707" t="s">
        <v>45</v>
      </c>
      <c r="F707">
        <v>16</v>
      </c>
      <c r="G707">
        <v>3</v>
      </c>
      <c r="H707" t="s">
        <v>38</v>
      </c>
      <c r="I707">
        <v>1</v>
      </c>
      <c r="J707">
        <v>1529</v>
      </c>
      <c r="K707">
        <v>4</v>
      </c>
      <c r="L707" t="s">
        <v>39</v>
      </c>
      <c r="M707">
        <v>91</v>
      </c>
      <c r="N707">
        <v>2</v>
      </c>
      <c r="O707">
        <v>3</v>
      </c>
      <c r="P707" t="s">
        <v>54</v>
      </c>
      <c r="Q707">
        <v>2</v>
      </c>
      <c r="R707" t="s">
        <v>41</v>
      </c>
      <c r="S707">
        <v>8606</v>
      </c>
      <c r="T707">
        <v>21195</v>
      </c>
      <c r="U707">
        <v>1</v>
      </c>
      <c r="V707" t="s">
        <v>42</v>
      </c>
      <c r="W707" t="s">
        <v>43</v>
      </c>
      <c r="X707">
        <v>19</v>
      </c>
      <c r="Y707">
        <v>3</v>
      </c>
      <c r="Z707">
        <v>4</v>
      </c>
      <c r="AA707">
        <v>80</v>
      </c>
      <c r="AB707">
        <v>0</v>
      </c>
      <c r="AC707">
        <v>11</v>
      </c>
      <c r="AD707">
        <v>3</v>
      </c>
      <c r="AE707">
        <v>1</v>
      </c>
      <c r="AF707">
        <v>11</v>
      </c>
      <c r="AG707">
        <v>8</v>
      </c>
      <c r="AH707">
        <v>3</v>
      </c>
      <c r="AI707">
        <v>3</v>
      </c>
    </row>
    <row r="708" spans="1:35" x14ac:dyDescent="0.35">
      <c r="A708">
        <v>39</v>
      </c>
      <c r="B708" t="s">
        <v>43</v>
      </c>
      <c r="C708" t="s">
        <v>36</v>
      </c>
      <c r="D708">
        <v>1089</v>
      </c>
      <c r="E708" t="s">
        <v>45</v>
      </c>
      <c r="F708">
        <v>6</v>
      </c>
      <c r="G708">
        <v>3</v>
      </c>
      <c r="H708" t="s">
        <v>38</v>
      </c>
      <c r="I708">
        <v>1</v>
      </c>
      <c r="J708">
        <v>1525</v>
      </c>
      <c r="K708">
        <v>2</v>
      </c>
      <c r="L708" t="s">
        <v>39</v>
      </c>
      <c r="M708">
        <v>32</v>
      </c>
      <c r="N708">
        <v>3</v>
      </c>
      <c r="O708">
        <v>3</v>
      </c>
      <c r="P708" t="s">
        <v>53</v>
      </c>
      <c r="Q708">
        <v>2</v>
      </c>
      <c r="R708" t="s">
        <v>41</v>
      </c>
      <c r="S708">
        <v>8376</v>
      </c>
      <c r="T708">
        <v>9150</v>
      </c>
      <c r="U708">
        <v>4</v>
      </c>
      <c r="V708" t="s">
        <v>42</v>
      </c>
      <c r="W708" t="s">
        <v>43</v>
      </c>
      <c r="X708">
        <v>18</v>
      </c>
      <c r="Y708">
        <v>3</v>
      </c>
      <c r="Z708">
        <v>4</v>
      </c>
      <c r="AA708">
        <v>80</v>
      </c>
      <c r="AB708">
        <v>0</v>
      </c>
      <c r="AC708">
        <v>9</v>
      </c>
      <c r="AD708">
        <v>3</v>
      </c>
      <c r="AE708">
        <v>3</v>
      </c>
      <c r="AF708">
        <v>2</v>
      </c>
      <c r="AG708">
        <v>0</v>
      </c>
      <c r="AH708">
        <v>2</v>
      </c>
      <c r="AI708">
        <v>2</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44</v>
      </c>
      <c r="B710" t="s">
        <v>43</v>
      </c>
      <c r="C710" t="s">
        <v>36</v>
      </c>
      <c r="D710">
        <v>136</v>
      </c>
      <c r="E710" t="s">
        <v>45</v>
      </c>
      <c r="F710">
        <v>28</v>
      </c>
      <c r="G710">
        <v>3</v>
      </c>
      <c r="H710" t="s">
        <v>38</v>
      </c>
      <c r="I710">
        <v>1</v>
      </c>
      <c r="J710">
        <v>1523</v>
      </c>
      <c r="K710">
        <v>4</v>
      </c>
      <c r="L710" t="s">
        <v>46</v>
      </c>
      <c r="M710">
        <v>32</v>
      </c>
      <c r="N710">
        <v>3</v>
      </c>
      <c r="O710">
        <v>4</v>
      </c>
      <c r="P710" t="s">
        <v>58</v>
      </c>
      <c r="Q710">
        <v>1</v>
      </c>
      <c r="R710" t="s">
        <v>48</v>
      </c>
      <c r="S710">
        <v>16328</v>
      </c>
      <c r="T710">
        <v>22074</v>
      </c>
      <c r="U710">
        <v>3</v>
      </c>
      <c r="V710" t="s">
        <v>42</v>
      </c>
      <c r="W710" t="s">
        <v>43</v>
      </c>
      <c r="X710">
        <v>13</v>
      </c>
      <c r="Y710">
        <v>3</v>
      </c>
      <c r="Z710">
        <v>3</v>
      </c>
      <c r="AA710">
        <v>80</v>
      </c>
      <c r="AB710">
        <v>1</v>
      </c>
      <c r="AC710">
        <v>24</v>
      </c>
      <c r="AD710">
        <v>1</v>
      </c>
      <c r="AE710">
        <v>4</v>
      </c>
      <c r="AF710">
        <v>20</v>
      </c>
      <c r="AG710">
        <v>6</v>
      </c>
      <c r="AH710">
        <v>14</v>
      </c>
      <c r="AI710">
        <v>17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29</v>
      </c>
      <c r="B712" t="s">
        <v>35</v>
      </c>
      <c r="C712" t="s">
        <v>36</v>
      </c>
      <c r="D712">
        <v>224</v>
      </c>
      <c r="E712" t="s">
        <v>45</v>
      </c>
      <c r="F712">
        <v>1</v>
      </c>
      <c r="G712">
        <v>4</v>
      </c>
      <c r="H712" t="s">
        <v>60</v>
      </c>
      <c r="I712">
        <v>1</v>
      </c>
      <c r="J712">
        <v>1522</v>
      </c>
      <c r="K712">
        <v>1</v>
      </c>
      <c r="L712" t="s">
        <v>46</v>
      </c>
      <c r="M712">
        <v>100</v>
      </c>
      <c r="N712">
        <v>2</v>
      </c>
      <c r="O712">
        <v>1</v>
      </c>
      <c r="P712" t="s">
        <v>47</v>
      </c>
      <c r="Q712">
        <v>1</v>
      </c>
      <c r="R712" t="s">
        <v>41</v>
      </c>
      <c r="S712">
        <v>2362</v>
      </c>
      <c r="T712">
        <v>7568</v>
      </c>
      <c r="U712">
        <v>6</v>
      </c>
      <c r="V712" t="s">
        <v>42</v>
      </c>
      <c r="W712" t="s">
        <v>43</v>
      </c>
      <c r="X712">
        <v>13</v>
      </c>
      <c r="Y712">
        <v>3</v>
      </c>
      <c r="Z712">
        <v>3</v>
      </c>
      <c r="AA712">
        <v>80</v>
      </c>
      <c r="AB712">
        <v>0</v>
      </c>
      <c r="AC712">
        <v>11</v>
      </c>
      <c r="AD712">
        <v>2</v>
      </c>
      <c r="AE712">
        <v>1</v>
      </c>
      <c r="AF712">
        <v>9</v>
      </c>
      <c r="AG712">
        <v>7</v>
      </c>
      <c r="AH712">
        <v>0</v>
      </c>
      <c r="AI712">
        <v>7</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54</v>
      </c>
      <c r="B721" t="s">
        <v>43</v>
      </c>
      <c r="C721" t="s">
        <v>44</v>
      </c>
      <c r="D721">
        <v>1050</v>
      </c>
      <c r="E721" t="s">
        <v>45</v>
      </c>
      <c r="F721">
        <v>11</v>
      </c>
      <c r="G721">
        <v>4</v>
      </c>
      <c r="H721" t="s">
        <v>51</v>
      </c>
      <c r="I721">
        <v>1</v>
      </c>
      <c r="J721">
        <v>1520</v>
      </c>
      <c r="K721">
        <v>2</v>
      </c>
      <c r="L721" t="s">
        <v>39</v>
      </c>
      <c r="M721">
        <v>87</v>
      </c>
      <c r="N721">
        <v>3</v>
      </c>
      <c r="O721">
        <v>4</v>
      </c>
      <c r="P721" t="s">
        <v>56</v>
      </c>
      <c r="Q721">
        <v>4</v>
      </c>
      <c r="R721" t="s">
        <v>52</v>
      </c>
      <c r="S721">
        <v>16032</v>
      </c>
      <c r="T721">
        <v>24456</v>
      </c>
      <c r="U721">
        <v>3</v>
      </c>
      <c r="V721" t="s">
        <v>42</v>
      </c>
      <c r="W721" t="s">
        <v>43</v>
      </c>
      <c r="X721">
        <v>20</v>
      </c>
      <c r="Y721">
        <v>4</v>
      </c>
      <c r="Z721">
        <v>1</v>
      </c>
      <c r="AA721">
        <v>80</v>
      </c>
      <c r="AB721">
        <v>1</v>
      </c>
      <c r="AC721">
        <v>26</v>
      </c>
      <c r="AD721">
        <v>2</v>
      </c>
      <c r="AE721">
        <v>3</v>
      </c>
      <c r="AF721">
        <v>14</v>
      </c>
      <c r="AG721">
        <v>9</v>
      </c>
      <c r="AH721">
        <v>1</v>
      </c>
      <c r="AI721">
        <v>12</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32</v>
      </c>
      <c r="B743" t="s">
        <v>43</v>
      </c>
      <c r="C743" t="s">
        <v>36</v>
      </c>
      <c r="D743">
        <v>495</v>
      </c>
      <c r="E743" t="s">
        <v>45</v>
      </c>
      <c r="F743">
        <v>10</v>
      </c>
      <c r="G743">
        <v>3</v>
      </c>
      <c r="H743" t="s">
        <v>51</v>
      </c>
      <c r="I743">
        <v>1</v>
      </c>
      <c r="J743">
        <v>1516</v>
      </c>
      <c r="K743">
        <v>3</v>
      </c>
      <c r="L743" t="s">
        <v>46</v>
      </c>
      <c r="M743">
        <v>64</v>
      </c>
      <c r="N743">
        <v>3</v>
      </c>
      <c r="O743">
        <v>3</v>
      </c>
      <c r="P743" t="s">
        <v>56</v>
      </c>
      <c r="Q743">
        <v>4</v>
      </c>
      <c r="R743" t="s">
        <v>41</v>
      </c>
      <c r="S743">
        <v>11244</v>
      </c>
      <c r="T743">
        <v>21072</v>
      </c>
      <c r="U743">
        <v>2</v>
      </c>
      <c r="V743" t="s">
        <v>42</v>
      </c>
      <c r="W743" t="s">
        <v>43</v>
      </c>
      <c r="X743">
        <v>25</v>
      </c>
      <c r="Y743">
        <v>4</v>
      </c>
      <c r="Z743">
        <v>2</v>
      </c>
      <c r="AA743">
        <v>80</v>
      </c>
      <c r="AB743">
        <v>0</v>
      </c>
      <c r="AC743">
        <v>10</v>
      </c>
      <c r="AD743">
        <v>5</v>
      </c>
      <c r="AE743">
        <v>4</v>
      </c>
      <c r="AF743">
        <v>5</v>
      </c>
      <c r="AG743">
        <v>2</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33</v>
      </c>
      <c r="B749" t="s">
        <v>43</v>
      </c>
      <c r="C749" t="s">
        <v>36</v>
      </c>
      <c r="D749">
        <v>516</v>
      </c>
      <c r="E749" t="s">
        <v>45</v>
      </c>
      <c r="F749">
        <v>8</v>
      </c>
      <c r="G749">
        <v>5</v>
      </c>
      <c r="H749" t="s">
        <v>38</v>
      </c>
      <c r="I749">
        <v>1</v>
      </c>
      <c r="J749">
        <v>1515</v>
      </c>
      <c r="K749">
        <v>4</v>
      </c>
      <c r="L749" t="s">
        <v>46</v>
      </c>
      <c r="M749">
        <v>69</v>
      </c>
      <c r="N749">
        <v>3</v>
      </c>
      <c r="O749">
        <v>2</v>
      </c>
      <c r="P749" t="s">
        <v>54</v>
      </c>
      <c r="Q749">
        <v>3</v>
      </c>
      <c r="R749" t="s">
        <v>41</v>
      </c>
      <c r="S749">
        <v>6388</v>
      </c>
      <c r="T749">
        <v>22049</v>
      </c>
      <c r="U749">
        <v>2</v>
      </c>
      <c r="V749" t="s">
        <v>42</v>
      </c>
      <c r="W749" t="s">
        <v>35</v>
      </c>
      <c r="X749">
        <v>17</v>
      </c>
      <c r="Y749">
        <v>3</v>
      </c>
      <c r="Z749">
        <v>1</v>
      </c>
      <c r="AA749">
        <v>80</v>
      </c>
      <c r="AB749">
        <v>0</v>
      </c>
      <c r="AC749">
        <v>14</v>
      </c>
      <c r="AD749">
        <v>6</v>
      </c>
      <c r="AE749">
        <v>3</v>
      </c>
      <c r="AF749">
        <v>0</v>
      </c>
      <c r="AG749">
        <v>0</v>
      </c>
      <c r="AH749">
        <v>0</v>
      </c>
      <c r="AI749">
        <v>0</v>
      </c>
    </row>
    <row r="750" spans="1:35" x14ac:dyDescent="0.35">
      <c r="A750">
        <v>28</v>
      </c>
      <c r="B750" t="s">
        <v>43</v>
      </c>
      <c r="C750" t="s">
        <v>36</v>
      </c>
      <c r="D750">
        <v>1083</v>
      </c>
      <c r="E750" t="s">
        <v>45</v>
      </c>
      <c r="F750">
        <v>29</v>
      </c>
      <c r="G750">
        <v>1</v>
      </c>
      <c r="H750" t="s">
        <v>38</v>
      </c>
      <c r="I750">
        <v>1</v>
      </c>
      <c r="J750">
        <v>1514</v>
      </c>
      <c r="K750">
        <v>3</v>
      </c>
      <c r="L750" t="s">
        <v>46</v>
      </c>
      <c r="M750">
        <v>96</v>
      </c>
      <c r="N750">
        <v>1</v>
      </c>
      <c r="O750">
        <v>2</v>
      </c>
      <c r="P750" t="s">
        <v>53</v>
      </c>
      <c r="Q750">
        <v>2</v>
      </c>
      <c r="R750" t="s">
        <v>48</v>
      </c>
      <c r="S750">
        <v>6549</v>
      </c>
      <c r="T750">
        <v>3173</v>
      </c>
      <c r="U750">
        <v>1</v>
      </c>
      <c r="V750" t="s">
        <v>42</v>
      </c>
      <c r="W750" t="s">
        <v>43</v>
      </c>
      <c r="X750">
        <v>14</v>
      </c>
      <c r="Y750">
        <v>3</v>
      </c>
      <c r="Z750">
        <v>2</v>
      </c>
      <c r="AA750">
        <v>80</v>
      </c>
      <c r="AB750">
        <v>2</v>
      </c>
      <c r="AC750">
        <v>8</v>
      </c>
      <c r="AD750">
        <v>2</v>
      </c>
      <c r="AE750">
        <v>2</v>
      </c>
      <c r="AF750">
        <v>8</v>
      </c>
      <c r="AG750">
        <v>6</v>
      </c>
      <c r="AH750">
        <v>1</v>
      </c>
      <c r="AI750">
        <v>7</v>
      </c>
    </row>
    <row r="751" spans="1:35" x14ac:dyDescent="0.35">
      <c r="A751">
        <v>29</v>
      </c>
      <c r="B751" t="s">
        <v>43</v>
      </c>
      <c r="C751" t="s">
        <v>44</v>
      </c>
      <c r="D751">
        <v>410</v>
      </c>
      <c r="E751" t="s">
        <v>45</v>
      </c>
      <c r="F751">
        <v>2</v>
      </c>
      <c r="G751">
        <v>1</v>
      </c>
      <c r="H751" t="s">
        <v>38</v>
      </c>
      <c r="I751">
        <v>1</v>
      </c>
      <c r="J751">
        <v>1513</v>
      </c>
      <c r="K751">
        <v>4</v>
      </c>
      <c r="L751" t="s">
        <v>39</v>
      </c>
      <c r="M751">
        <v>97</v>
      </c>
      <c r="N751">
        <v>3</v>
      </c>
      <c r="O751">
        <v>1</v>
      </c>
      <c r="P751" t="s">
        <v>50</v>
      </c>
      <c r="Q751">
        <v>2</v>
      </c>
      <c r="R751" t="s">
        <v>48</v>
      </c>
      <c r="S751">
        <v>3180</v>
      </c>
      <c r="T751">
        <v>4668</v>
      </c>
      <c r="U751">
        <v>0</v>
      </c>
      <c r="V751" t="s">
        <v>42</v>
      </c>
      <c r="W751" t="s">
        <v>43</v>
      </c>
      <c r="X751">
        <v>13</v>
      </c>
      <c r="Y751">
        <v>3</v>
      </c>
      <c r="Z751">
        <v>3</v>
      </c>
      <c r="AA751">
        <v>80</v>
      </c>
      <c r="AB751">
        <v>3</v>
      </c>
      <c r="AC751">
        <v>4</v>
      </c>
      <c r="AD751">
        <v>3</v>
      </c>
      <c r="AE751">
        <v>3</v>
      </c>
      <c r="AF751">
        <v>3</v>
      </c>
      <c r="AG751">
        <v>2</v>
      </c>
      <c r="AH751">
        <v>0</v>
      </c>
      <c r="AI751">
        <v>2</v>
      </c>
    </row>
    <row r="752" spans="1:35" x14ac:dyDescent="0.35">
      <c r="A752">
        <v>49</v>
      </c>
      <c r="B752" t="s">
        <v>43</v>
      </c>
      <c r="C752" t="s">
        <v>36</v>
      </c>
      <c r="D752">
        <v>271</v>
      </c>
      <c r="E752" t="s">
        <v>45</v>
      </c>
      <c r="F752">
        <v>3</v>
      </c>
      <c r="G752">
        <v>2</v>
      </c>
      <c r="H752" t="s">
        <v>51</v>
      </c>
      <c r="I752">
        <v>1</v>
      </c>
      <c r="J752">
        <v>1509</v>
      </c>
      <c r="K752">
        <v>3</v>
      </c>
      <c r="L752" t="s">
        <v>39</v>
      </c>
      <c r="M752">
        <v>43</v>
      </c>
      <c r="N752">
        <v>2</v>
      </c>
      <c r="O752">
        <v>2</v>
      </c>
      <c r="P752" t="s">
        <v>50</v>
      </c>
      <c r="Q752">
        <v>1</v>
      </c>
      <c r="R752" t="s">
        <v>48</v>
      </c>
      <c r="S752">
        <v>4789</v>
      </c>
      <c r="T752">
        <v>23070</v>
      </c>
      <c r="U752">
        <v>4</v>
      </c>
      <c r="V752" t="s">
        <v>42</v>
      </c>
      <c r="W752" t="s">
        <v>43</v>
      </c>
      <c r="X752">
        <v>25</v>
      </c>
      <c r="Y752">
        <v>4</v>
      </c>
      <c r="Z752">
        <v>1</v>
      </c>
      <c r="AA752">
        <v>80</v>
      </c>
      <c r="AB752">
        <v>1</v>
      </c>
      <c r="AC752">
        <v>10</v>
      </c>
      <c r="AD752">
        <v>3</v>
      </c>
      <c r="AE752">
        <v>3</v>
      </c>
      <c r="AF752">
        <v>3</v>
      </c>
      <c r="AG752">
        <v>2</v>
      </c>
      <c r="AH752">
        <v>1</v>
      </c>
      <c r="AI752">
        <v>2</v>
      </c>
    </row>
    <row r="753" spans="1:35" x14ac:dyDescent="0.35">
      <c r="A753">
        <v>28</v>
      </c>
      <c r="B753" t="s">
        <v>43</v>
      </c>
      <c r="C753" t="s">
        <v>36</v>
      </c>
      <c r="D753">
        <v>1423</v>
      </c>
      <c r="E753" t="s">
        <v>45</v>
      </c>
      <c r="F753">
        <v>1</v>
      </c>
      <c r="G753">
        <v>3</v>
      </c>
      <c r="H753" t="s">
        <v>38</v>
      </c>
      <c r="I753">
        <v>1</v>
      </c>
      <c r="J753">
        <v>1506</v>
      </c>
      <c r="K753">
        <v>1</v>
      </c>
      <c r="L753" t="s">
        <v>46</v>
      </c>
      <c r="M753">
        <v>72</v>
      </c>
      <c r="N753">
        <v>2</v>
      </c>
      <c r="O753">
        <v>1</v>
      </c>
      <c r="P753" t="s">
        <v>47</v>
      </c>
      <c r="Q753">
        <v>3</v>
      </c>
      <c r="R753" t="s">
        <v>52</v>
      </c>
      <c r="S753">
        <v>1563</v>
      </c>
      <c r="T753">
        <v>12530</v>
      </c>
      <c r="U753">
        <v>1</v>
      </c>
      <c r="V753" t="s">
        <v>42</v>
      </c>
      <c r="W753" t="s">
        <v>43</v>
      </c>
      <c r="X753">
        <v>14</v>
      </c>
      <c r="Y753">
        <v>3</v>
      </c>
      <c r="Z753">
        <v>4</v>
      </c>
      <c r="AA753">
        <v>80</v>
      </c>
      <c r="AB753">
        <v>1</v>
      </c>
      <c r="AC753">
        <v>1</v>
      </c>
      <c r="AD753">
        <v>2</v>
      </c>
      <c r="AE753">
        <v>1</v>
      </c>
      <c r="AF753">
        <v>1</v>
      </c>
      <c r="AG753">
        <v>0</v>
      </c>
      <c r="AH753">
        <v>0</v>
      </c>
      <c r="AI753">
        <v>0</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28</v>
      </c>
      <c r="B756" t="s">
        <v>35</v>
      </c>
      <c r="C756" t="s">
        <v>44</v>
      </c>
      <c r="D756">
        <v>289</v>
      </c>
      <c r="E756" t="s">
        <v>45</v>
      </c>
      <c r="F756">
        <v>2</v>
      </c>
      <c r="G756">
        <v>2</v>
      </c>
      <c r="H756" t="s">
        <v>51</v>
      </c>
      <c r="I756">
        <v>1</v>
      </c>
      <c r="J756">
        <v>1504</v>
      </c>
      <c r="K756">
        <v>3</v>
      </c>
      <c r="L756" t="s">
        <v>46</v>
      </c>
      <c r="M756">
        <v>38</v>
      </c>
      <c r="N756">
        <v>2</v>
      </c>
      <c r="O756">
        <v>1</v>
      </c>
      <c r="P756" t="s">
        <v>50</v>
      </c>
      <c r="Q756">
        <v>1</v>
      </c>
      <c r="R756" t="s">
        <v>41</v>
      </c>
      <c r="S756">
        <v>2561</v>
      </c>
      <c r="T756">
        <v>5355</v>
      </c>
      <c r="U756">
        <v>7</v>
      </c>
      <c r="V756" t="s">
        <v>42</v>
      </c>
      <c r="W756" t="s">
        <v>43</v>
      </c>
      <c r="X756">
        <v>11</v>
      </c>
      <c r="Y756">
        <v>3</v>
      </c>
      <c r="Z756">
        <v>3</v>
      </c>
      <c r="AA756">
        <v>80</v>
      </c>
      <c r="AB756">
        <v>0</v>
      </c>
      <c r="AC756">
        <v>8</v>
      </c>
      <c r="AD756">
        <v>2</v>
      </c>
      <c r="AE756">
        <v>2</v>
      </c>
      <c r="AF756">
        <v>0</v>
      </c>
      <c r="AG756">
        <v>0</v>
      </c>
      <c r="AH756">
        <v>0</v>
      </c>
      <c r="AI756">
        <v>0</v>
      </c>
    </row>
    <row r="757" spans="1:35" x14ac:dyDescent="0.35">
      <c r="A757">
        <v>33</v>
      </c>
      <c r="B757" t="s">
        <v>43</v>
      </c>
      <c r="C757" t="s">
        <v>36</v>
      </c>
      <c r="D757">
        <v>1099</v>
      </c>
      <c r="E757" t="s">
        <v>45</v>
      </c>
      <c r="F757">
        <v>4</v>
      </c>
      <c r="G757">
        <v>4</v>
      </c>
      <c r="H757" t="s">
        <v>51</v>
      </c>
      <c r="I757">
        <v>1</v>
      </c>
      <c r="J757">
        <v>1502</v>
      </c>
      <c r="K757">
        <v>1</v>
      </c>
      <c r="L757" t="s">
        <v>39</v>
      </c>
      <c r="M757">
        <v>82</v>
      </c>
      <c r="N757">
        <v>2</v>
      </c>
      <c r="O757">
        <v>1</v>
      </c>
      <c r="P757" t="s">
        <v>50</v>
      </c>
      <c r="Q757">
        <v>2</v>
      </c>
      <c r="R757" t="s">
        <v>48</v>
      </c>
      <c r="S757">
        <v>3838</v>
      </c>
      <c r="T757">
        <v>8192</v>
      </c>
      <c r="U757">
        <v>8</v>
      </c>
      <c r="V757" t="s">
        <v>42</v>
      </c>
      <c r="W757" t="s">
        <v>43</v>
      </c>
      <c r="X757">
        <v>11</v>
      </c>
      <c r="Y757">
        <v>3</v>
      </c>
      <c r="Z757">
        <v>4</v>
      </c>
      <c r="AA757">
        <v>80</v>
      </c>
      <c r="AB757">
        <v>0</v>
      </c>
      <c r="AC757">
        <v>8</v>
      </c>
      <c r="AD757">
        <v>5</v>
      </c>
      <c r="AE757">
        <v>3</v>
      </c>
      <c r="AF757">
        <v>5</v>
      </c>
      <c r="AG757">
        <v>4</v>
      </c>
      <c r="AH757">
        <v>0</v>
      </c>
      <c r="AI757">
        <v>2</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55</v>
      </c>
      <c r="B759" t="s">
        <v>43</v>
      </c>
      <c r="C759" t="s">
        <v>36</v>
      </c>
      <c r="D759">
        <v>1229</v>
      </c>
      <c r="E759" t="s">
        <v>45</v>
      </c>
      <c r="F759">
        <v>4</v>
      </c>
      <c r="G759">
        <v>4</v>
      </c>
      <c r="H759" t="s">
        <v>38</v>
      </c>
      <c r="I759">
        <v>1</v>
      </c>
      <c r="J759">
        <v>1501</v>
      </c>
      <c r="K759">
        <v>4</v>
      </c>
      <c r="L759" t="s">
        <v>46</v>
      </c>
      <c r="M759">
        <v>30</v>
      </c>
      <c r="N759">
        <v>3</v>
      </c>
      <c r="O759">
        <v>2</v>
      </c>
      <c r="P759" t="s">
        <v>54</v>
      </c>
      <c r="Q759">
        <v>3</v>
      </c>
      <c r="R759" t="s">
        <v>48</v>
      </c>
      <c r="S759">
        <v>4035</v>
      </c>
      <c r="T759">
        <v>16143</v>
      </c>
      <c r="U759">
        <v>0</v>
      </c>
      <c r="V759" t="s">
        <v>42</v>
      </c>
      <c r="W759" t="s">
        <v>35</v>
      </c>
      <c r="X759">
        <v>16</v>
      </c>
      <c r="Y759">
        <v>3</v>
      </c>
      <c r="Z759">
        <v>2</v>
      </c>
      <c r="AA759">
        <v>80</v>
      </c>
      <c r="AB759">
        <v>0</v>
      </c>
      <c r="AC759">
        <v>4</v>
      </c>
      <c r="AD759">
        <v>2</v>
      </c>
      <c r="AE759">
        <v>3</v>
      </c>
      <c r="AF759">
        <v>3</v>
      </c>
      <c r="AG759">
        <v>2</v>
      </c>
      <c r="AH759">
        <v>1</v>
      </c>
      <c r="AI759">
        <v>2</v>
      </c>
    </row>
    <row r="760" spans="1:35" x14ac:dyDescent="0.35">
      <c r="A760">
        <v>44</v>
      </c>
      <c r="B760" t="s">
        <v>43</v>
      </c>
      <c r="C760" t="s">
        <v>44</v>
      </c>
      <c r="D760">
        <v>1193</v>
      </c>
      <c r="E760" t="s">
        <v>45</v>
      </c>
      <c r="F760">
        <v>2</v>
      </c>
      <c r="G760">
        <v>1</v>
      </c>
      <c r="H760" t="s">
        <v>51</v>
      </c>
      <c r="I760">
        <v>1</v>
      </c>
      <c r="J760">
        <v>1496</v>
      </c>
      <c r="K760">
        <v>2</v>
      </c>
      <c r="L760" t="s">
        <v>46</v>
      </c>
      <c r="M760">
        <v>86</v>
      </c>
      <c r="N760">
        <v>3</v>
      </c>
      <c r="O760">
        <v>3</v>
      </c>
      <c r="P760" t="s">
        <v>53</v>
      </c>
      <c r="Q760">
        <v>3</v>
      </c>
      <c r="R760" t="s">
        <v>41</v>
      </c>
      <c r="S760">
        <v>10209</v>
      </c>
      <c r="T760">
        <v>19719</v>
      </c>
      <c r="U760">
        <v>5</v>
      </c>
      <c r="V760" t="s">
        <v>42</v>
      </c>
      <c r="W760" t="s">
        <v>35</v>
      </c>
      <c r="X760">
        <v>18</v>
      </c>
      <c r="Y760">
        <v>3</v>
      </c>
      <c r="Z760">
        <v>2</v>
      </c>
      <c r="AA760">
        <v>80</v>
      </c>
      <c r="AB760">
        <v>0</v>
      </c>
      <c r="AC760">
        <v>16</v>
      </c>
      <c r="AD760">
        <v>2</v>
      </c>
      <c r="AE760">
        <v>2</v>
      </c>
      <c r="AF760">
        <v>2</v>
      </c>
      <c r="AG760">
        <v>2</v>
      </c>
      <c r="AH760">
        <v>2</v>
      </c>
      <c r="AI760">
        <v>2</v>
      </c>
    </row>
    <row r="761" spans="1:35" x14ac:dyDescent="0.35">
      <c r="A761">
        <v>24</v>
      </c>
      <c r="B761" t="s">
        <v>35</v>
      </c>
      <c r="C761" t="s">
        <v>44</v>
      </c>
      <c r="D761">
        <v>381</v>
      </c>
      <c r="E761" t="s">
        <v>45</v>
      </c>
      <c r="F761">
        <v>9</v>
      </c>
      <c r="G761">
        <v>3</v>
      </c>
      <c r="H761" t="s">
        <v>51</v>
      </c>
      <c r="I761">
        <v>1</v>
      </c>
      <c r="J761">
        <v>1494</v>
      </c>
      <c r="K761">
        <v>2</v>
      </c>
      <c r="L761" t="s">
        <v>46</v>
      </c>
      <c r="M761">
        <v>89</v>
      </c>
      <c r="N761">
        <v>3</v>
      </c>
      <c r="O761">
        <v>1</v>
      </c>
      <c r="P761" t="s">
        <v>50</v>
      </c>
      <c r="Q761">
        <v>1</v>
      </c>
      <c r="R761" t="s">
        <v>41</v>
      </c>
      <c r="S761">
        <v>3172</v>
      </c>
      <c r="T761">
        <v>16998</v>
      </c>
      <c r="U761">
        <v>2</v>
      </c>
      <c r="V761" t="s">
        <v>42</v>
      </c>
      <c r="W761" t="s">
        <v>35</v>
      </c>
      <c r="X761">
        <v>11</v>
      </c>
      <c r="Y761">
        <v>3</v>
      </c>
      <c r="Z761">
        <v>3</v>
      </c>
      <c r="AA761">
        <v>80</v>
      </c>
      <c r="AB761">
        <v>0</v>
      </c>
      <c r="AC761">
        <v>4</v>
      </c>
      <c r="AD761">
        <v>2</v>
      </c>
      <c r="AE761">
        <v>2</v>
      </c>
      <c r="AF761">
        <v>0</v>
      </c>
      <c r="AG761">
        <v>0</v>
      </c>
      <c r="AH761">
        <v>0</v>
      </c>
      <c r="AI761">
        <v>0</v>
      </c>
    </row>
    <row r="762" spans="1:35" x14ac:dyDescent="0.35">
      <c r="A762">
        <v>34</v>
      </c>
      <c r="B762" t="s">
        <v>43</v>
      </c>
      <c r="C762" t="s">
        <v>44</v>
      </c>
      <c r="D762">
        <v>829</v>
      </c>
      <c r="E762" t="s">
        <v>45</v>
      </c>
      <c r="F762">
        <v>15</v>
      </c>
      <c r="G762">
        <v>3</v>
      </c>
      <c r="H762" t="s">
        <v>51</v>
      </c>
      <c r="I762">
        <v>1</v>
      </c>
      <c r="J762">
        <v>1485</v>
      </c>
      <c r="K762">
        <v>2</v>
      </c>
      <c r="L762" t="s">
        <v>46</v>
      </c>
      <c r="M762">
        <v>71</v>
      </c>
      <c r="N762">
        <v>3</v>
      </c>
      <c r="O762">
        <v>4</v>
      </c>
      <c r="P762" t="s">
        <v>58</v>
      </c>
      <c r="Q762">
        <v>1</v>
      </c>
      <c r="R762" t="s">
        <v>52</v>
      </c>
      <c r="S762">
        <v>17007</v>
      </c>
      <c r="T762">
        <v>11929</v>
      </c>
      <c r="U762">
        <v>7</v>
      </c>
      <c r="V762" t="s">
        <v>42</v>
      </c>
      <c r="W762" t="s">
        <v>43</v>
      </c>
      <c r="X762">
        <v>14</v>
      </c>
      <c r="Y762">
        <v>3</v>
      </c>
      <c r="Z762">
        <v>4</v>
      </c>
      <c r="AA762">
        <v>80</v>
      </c>
      <c r="AB762">
        <v>2</v>
      </c>
      <c r="AC762">
        <v>16</v>
      </c>
      <c r="AD762">
        <v>3</v>
      </c>
      <c r="AE762">
        <v>2</v>
      </c>
      <c r="AF762">
        <v>14</v>
      </c>
      <c r="AG762">
        <v>8</v>
      </c>
      <c r="AH762">
        <v>6</v>
      </c>
      <c r="AI762">
        <v>9</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49</v>
      </c>
      <c r="B765" t="s">
        <v>43</v>
      </c>
      <c r="C765" t="s">
        <v>36</v>
      </c>
      <c r="D765">
        <v>1490</v>
      </c>
      <c r="E765" t="s">
        <v>45</v>
      </c>
      <c r="F765">
        <v>7</v>
      </c>
      <c r="G765">
        <v>4</v>
      </c>
      <c r="H765" t="s">
        <v>38</v>
      </c>
      <c r="I765">
        <v>1</v>
      </c>
      <c r="J765">
        <v>1484</v>
      </c>
      <c r="K765">
        <v>3</v>
      </c>
      <c r="L765" t="s">
        <v>46</v>
      </c>
      <c r="M765">
        <v>35</v>
      </c>
      <c r="N765">
        <v>3</v>
      </c>
      <c r="O765">
        <v>3</v>
      </c>
      <c r="P765" t="s">
        <v>54</v>
      </c>
      <c r="Q765">
        <v>2</v>
      </c>
      <c r="R765" t="s">
        <v>52</v>
      </c>
      <c r="S765">
        <v>10466</v>
      </c>
      <c r="T765">
        <v>20948</v>
      </c>
      <c r="U765">
        <v>3</v>
      </c>
      <c r="V765" t="s">
        <v>42</v>
      </c>
      <c r="W765" t="s">
        <v>43</v>
      </c>
      <c r="X765">
        <v>14</v>
      </c>
      <c r="Y765">
        <v>3</v>
      </c>
      <c r="Z765">
        <v>2</v>
      </c>
      <c r="AA765">
        <v>80</v>
      </c>
      <c r="AB765">
        <v>2</v>
      </c>
      <c r="AC765">
        <v>29</v>
      </c>
      <c r="AD765">
        <v>3</v>
      </c>
      <c r="AE765">
        <v>3</v>
      </c>
      <c r="AF765">
        <v>8</v>
      </c>
      <c r="AG765">
        <v>7</v>
      </c>
      <c r="AH765">
        <v>0</v>
      </c>
      <c r="AI765">
        <v>7</v>
      </c>
    </row>
    <row r="766" spans="1:35" x14ac:dyDescent="0.35">
      <c r="A766">
        <v>57</v>
      </c>
      <c r="B766" t="s">
        <v>43</v>
      </c>
      <c r="C766" t="s">
        <v>36</v>
      </c>
      <c r="D766">
        <v>405</v>
      </c>
      <c r="E766" t="s">
        <v>45</v>
      </c>
      <c r="F766">
        <v>1</v>
      </c>
      <c r="G766">
        <v>2</v>
      </c>
      <c r="H766" t="s">
        <v>38</v>
      </c>
      <c r="I766">
        <v>1</v>
      </c>
      <c r="J766">
        <v>1483</v>
      </c>
      <c r="K766">
        <v>2</v>
      </c>
      <c r="L766" t="s">
        <v>46</v>
      </c>
      <c r="M766">
        <v>93</v>
      </c>
      <c r="N766">
        <v>4</v>
      </c>
      <c r="O766">
        <v>2</v>
      </c>
      <c r="P766" t="s">
        <v>47</v>
      </c>
      <c r="Q766">
        <v>3</v>
      </c>
      <c r="R766" t="s">
        <v>48</v>
      </c>
      <c r="S766">
        <v>4900</v>
      </c>
      <c r="T766">
        <v>2721</v>
      </c>
      <c r="U766">
        <v>0</v>
      </c>
      <c r="V766" t="s">
        <v>42</v>
      </c>
      <c r="W766" t="s">
        <v>43</v>
      </c>
      <c r="X766">
        <v>24</v>
      </c>
      <c r="Y766">
        <v>4</v>
      </c>
      <c r="Z766">
        <v>1</v>
      </c>
      <c r="AA766">
        <v>80</v>
      </c>
      <c r="AB766">
        <v>1</v>
      </c>
      <c r="AC766">
        <v>13</v>
      </c>
      <c r="AD766">
        <v>2</v>
      </c>
      <c r="AE766">
        <v>2</v>
      </c>
      <c r="AF766">
        <v>12</v>
      </c>
      <c r="AG766">
        <v>9</v>
      </c>
      <c r="AH766">
        <v>2</v>
      </c>
      <c r="AI766">
        <v>8</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30</v>
      </c>
      <c r="B770" t="s">
        <v>43</v>
      </c>
      <c r="C770" t="s">
        <v>55</v>
      </c>
      <c r="D770">
        <v>990</v>
      </c>
      <c r="E770" t="s">
        <v>45</v>
      </c>
      <c r="F770">
        <v>7</v>
      </c>
      <c r="G770">
        <v>3</v>
      </c>
      <c r="H770" t="s">
        <v>60</v>
      </c>
      <c r="I770">
        <v>1</v>
      </c>
      <c r="J770">
        <v>1482</v>
      </c>
      <c r="K770">
        <v>3</v>
      </c>
      <c r="L770" t="s">
        <v>46</v>
      </c>
      <c r="M770">
        <v>64</v>
      </c>
      <c r="N770">
        <v>3</v>
      </c>
      <c r="O770">
        <v>1</v>
      </c>
      <c r="P770" t="s">
        <v>47</v>
      </c>
      <c r="Q770">
        <v>3</v>
      </c>
      <c r="R770" t="s">
        <v>52</v>
      </c>
      <c r="S770">
        <v>1274</v>
      </c>
      <c r="T770">
        <v>7152</v>
      </c>
      <c r="U770">
        <v>1</v>
      </c>
      <c r="V770" t="s">
        <v>42</v>
      </c>
      <c r="W770" t="s">
        <v>43</v>
      </c>
      <c r="X770">
        <v>13</v>
      </c>
      <c r="Y770">
        <v>3</v>
      </c>
      <c r="Z770">
        <v>2</v>
      </c>
      <c r="AA770">
        <v>80</v>
      </c>
      <c r="AB770">
        <v>2</v>
      </c>
      <c r="AC770">
        <v>1</v>
      </c>
      <c r="AD770">
        <v>2</v>
      </c>
      <c r="AE770">
        <v>2</v>
      </c>
      <c r="AF770">
        <v>1</v>
      </c>
      <c r="AG770">
        <v>0</v>
      </c>
      <c r="AH770">
        <v>0</v>
      </c>
      <c r="AI770">
        <v>0</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42</v>
      </c>
      <c r="B773" t="s">
        <v>43</v>
      </c>
      <c r="C773" t="s">
        <v>44</v>
      </c>
      <c r="D773">
        <v>748</v>
      </c>
      <c r="E773" t="s">
        <v>45</v>
      </c>
      <c r="F773">
        <v>9</v>
      </c>
      <c r="G773">
        <v>2</v>
      </c>
      <c r="H773" t="s">
        <v>51</v>
      </c>
      <c r="I773">
        <v>1</v>
      </c>
      <c r="J773">
        <v>1480</v>
      </c>
      <c r="K773">
        <v>1</v>
      </c>
      <c r="L773" t="s">
        <v>39</v>
      </c>
      <c r="M773">
        <v>74</v>
      </c>
      <c r="N773">
        <v>3</v>
      </c>
      <c r="O773">
        <v>1</v>
      </c>
      <c r="P773" t="s">
        <v>50</v>
      </c>
      <c r="Q773">
        <v>4</v>
      </c>
      <c r="R773" t="s">
        <v>41</v>
      </c>
      <c r="S773">
        <v>3673</v>
      </c>
      <c r="T773">
        <v>16458</v>
      </c>
      <c r="U773">
        <v>1</v>
      </c>
      <c r="V773" t="s">
        <v>42</v>
      </c>
      <c r="W773" t="s">
        <v>43</v>
      </c>
      <c r="X773">
        <v>13</v>
      </c>
      <c r="Y773">
        <v>3</v>
      </c>
      <c r="Z773">
        <v>3</v>
      </c>
      <c r="AA773">
        <v>80</v>
      </c>
      <c r="AB773">
        <v>0</v>
      </c>
      <c r="AC773">
        <v>12</v>
      </c>
      <c r="AD773">
        <v>3</v>
      </c>
      <c r="AE773">
        <v>3</v>
      </c>
      <c r="AF773">
        <v>12</v>
      </c>
      <c r="AG773">
        <v>9</v>
      </c>
      <c r="AH773">
        <v>5</v>
      </c>
      <c r="AI773">
        <v>8</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44</v>
      </c>
      <c r="B777" t="s">
        <v>43</v>
      </c>
      <c r="C777" t="s">
        <v>36</v>
      </c>
      <c r="D777">
        <v>1467</v>
      </c>
      <c r="E777" t="s">
        <v>45</v>
      </c>
      <c r="F777">
        <v>20</v>
      </c>
      <c r="G777">
        <v>3</v>
      </c>
      <c r="H777" t="s">
        <v>38</v>
      </c>
      <c r="I777">
        <v>1</v>
      </c>
      <c r="J777">
        <v>1475</v>
      </c>
      <c r="K777">
        <v>4</v>
      </c>
      <c r="L777" t="s">
        <v>46</v>
      </c>
      <c r="M777">
        <v>49</v>
      </c>
      <c r="N777">
        <v>3</v>
      </c>
      <c r="O777">
        <v>1</v>
      </c>
      <c r="P777" t="s">
        <v>47</v>
      </c>
      <c r="Q777">
        <v>2</v>
      </c>
      <c r="R777" t="s">
        <v>41</v>
      </c>
      <c r="S777">
        <v>3420</v>
      </c>
      <c r="T777">
        <v>21158</v>
      </c>
      <c r="U777">
        <v>1</v>
      </c>
      <c r="V777" t="s">
        <v>42</v>
      </c>
      <c r="W777" t="s">
        <v>43</v>
      </c>
      <c r="X777">
        <v>13</v>
      </c>
      <c r="Y777">
        <v>3</v>
      </c>
      <c r="Z777">
        <v>3</v>
      </c>
      <c r="AA777">
        <v>80</v>
      </c>
      <c r="AB777">
        <v>0</v>
      </c>
      <c r="AC777">
        <v>6</v>
      </c>
      <c r="AD777">
        <v>3</v>
      </c>
      <c r="AE777">
        <v>2</v>
      </c>
      <c r="AF777">
        <v>5</v>
      </c>
      <c r="AG777">
        <v>2</v>
      </c>
      <c r="AH777">
        <v>1</v>
      </c>
      <c r="AI777">
        <v>3</v>
      </c>
    </row>
    <row r="778" spans="1:35" x14ac:dyDescent="0.35">
      <c r="A778">
        <v>40</v>
      </c>
      <c r="B778" t="s">
        <v>43</v>
      </c>
      <c r="C778" t="s">
        <v>36</v>
      </c>
      <c r="D778">
        <v>896</v>
      </c>
      <c r="E778" t="s">
        <v>45</v>
      </c>
      <c r="F778">
        <v>2</v>
      </c>
      <c r="G778">
        <v>3</v>
      </c>
      <c r="H778" t="s">
        <v>51</v>
      </c>
      <c r="I778">
        <v>1</v>
      </c>
      <c r="J778">
        <v>1474</v>
      </c>
      <c r="K778">
        <v>3</v>
      </c>
      <c r="L778" t="s">
        <v>46</v>
      </c>
      <c r="M778">
        <v>68</v>
      </c>
      <c r="N778">
        <v>3</v>
      </c>
      <c r="O778">
        <v>1</v>
      </c>
      <c r="P778" t="s">
        <v>47</v>
      </c>
      <c r="Q778">
        <v>3</v>
      </c>
      <c r="R778" t="s">
        <v>52</v>
      </c>
      <c r="S778">
        <v>2345</v>
      </c>
      <c r="T778">
        <v>8045</v>
      </c>
      <c r="U778">
        <v>2</v>
      </c>
      <c r="V778" t="s">
        <v>42</v>
      </c>
      <c r="W778" t="s">
        <v>43</v>
      </c>
      <c r="X778">
        <v>14</v>
      </c>
      <c r="Y778">
        <v>3</v>
      </c>
      <c r="Z778">
        <v>3</v>
      </c>
      <c r="AA778">
        <v>80</v>
      </c>
      <c r="AB778">
        <v>1</v>
      </c>
      <c r="AC778">
        <v>8</v>
      </c>
      <c r="AD778">
        <v>3</v>
      </c>
      <c r="AE778">
        <v>4</v>
      </c>
      <c r="AF778">
        <v>3</v>
      </c>
      <c r="AG778">
        <v>1</v>
      </c>
      <c r="AH778">
        <v>1</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49</v>
      </c>
      <c r="B791" t="s">
        <v>43</v>
      </c>
      <c r="C791" t="s">
        <v>36</v>
      </c>
      <c r="D791">
        <v>1495</v>
      </c>
      <c r="E791" t="s">
        <v>45</v>
      </c>
      <c r="F791">
        <v>5</v>
      </c>
      <c r="G791">
        <v>4</v>
      </c>
      <c r="H791" t="s">
        <v>60</v>
      </c>
      <c r="I791">
        <v>1</v>
      </c>
      <c r="J791">
        <v>1473</v>
      </c>
      <c r="K791">
        <v>1</v>
      </c>
      <c r="L791" t="s">
        <v>46</v>
      </c>
      <c r="M791">
        <v>96</v>
      </c>
      <c r="N791">
        <v>3</v>
      </c>
      <c r="O791">
        <v>2</v>
      </c>
      <c r="P791" t="s">
        <v>54</v>
      </c>
      <c r="Q791">
        <v>3</v>
      </c>
      <c r="R791" t="s">
        <v>48</v>
      </c>
      <c r="S791">
        <v>6651</v>
      </c>
      <c r="T791">
        <v>21534</v>
      </c>
      <c r="U791">
        <v>2</v>
      </c>
      <c r="V791" t="s">
        <v>42</v>
      </c>
      <c r="W791" t="s">
        <v>43</v>
      </c>
      <c r="X791">
        <v>14</v>
      </c>
      <c r="Y791">
        <v>3</v>
      </c>
      <c r="Z791">
        <v>2</v>
      </c>
      <c r="AA791">
        <v>80</v>
      </c>
      <c r="AB791">
        <v>1</v>
      </c>
      <c r="AC791">
        <v>20</v>
      </c>
      <c r="AD791">
        <v>0</v>
      </c>
      <c r="AE791">
        <v>2</v>
      </c>
      <c r="AF791">
        <v>3</v>
      </c>
      <c r="AG791">
        <v>2</v>
      </c>
      <c r="AH791">
        <v>1</v>
      </c>
      <c r="AI791">
        <v>2</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53</v>
      </c>
      <c r="B793" t="s">
        <v>43</v>
      </c>
      <c r="C793" t="s">
        <v>36</v>
      </c>
      <c r="D793">
        <v>447</v>
      </c>
      <c r="E793" t="s">
        <v>45</v>
      </c>
      <c r="F793">
        <v>2</v>
      </c>
      <c r="G793">
        <v>3</v>
      </c>
      <c r="H793" t="s">
        <v>51</v>
      </c>
      <c r="I793">
        <v>1</v>
      </c>
      <c r="J793">
        <v>1472</v>
      </c>
      <c r="K793">
        <v>4</v>
      </c>
      <c r="L793" t="s">
        <v>46</v>
      </c>
      <c r="M793">
        <v>39</v>
      </c>
      <c r="N793">
        <v>4</v>
      </c>
      <c r="O793">
        <v>4</v>
      </c>
      <c r="P793" t="s">
        <v>58</v>
      </c>
      <c r="Q793">
        <v>2</v>
      </c>
      <c r="R793" t="s">
        <v>41</v>
      </c>
      <c r="S793">
        <v>16598</v>
      </c>
      <c r="T793">
        <v>19764</v>
      </c>
      <c r="U793">
        <v>4</v>
      </c>
      <c r="V793" t="s">
        <v>42</v>
      </c>
      <c r="W793" t="s">
        <v>43</v>
      </c>
      <c r="X793">
        <v>12</v>
      </c>
      <c r="Y793">
        <v>3</v>
      </c>
      <c r="Z793">
        <v>2</v>
      </c>
      <c r="AA793">
        <v>80</v>
      </c>
      <c r="AB793">
        <v>0</v>
      </c>
      <c r="AC793">
        <v>35</v>
      </c>
      <c r="AD793">
        <v>2</v>
      </c>
      <c r="AE793">
        <v>2</v>
      </c>
      <c r="AF793">
        <v>9</v>
      </c>
      <c r="AG793">
        <v>8</v>
      </c>
      <c r="AH793">
        <v>8</v>
      </c>
      <c r="AI793">
        <v>8</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44</v>
      </c>
      <c r="B797" t="s">
        <v>43</v>
      </c>
      <c r="C797" t="s">
        <v>55</v>
      </c>
      <c r="D797">
        <v>981</v>
      </c>
      <c r="E797" t="s">
        <v>45</v>
      </c>
      <c r="F797">
        <v>5</v>
      </c>
      <c r="G797">
        <v>3</v>
      </c>
      <c r="H797" t="s">
        <v>38</v>
      </c>
      <c r="I797">
        <v>1</v>
      </c>
      <c r="J797">
        <v>1471</v>
      </c>
      <c r="K797">
        <v>3</v>
      </c>
      <c r="L797" t="s">
        <v>46</v>
      </c>
      <c r="M797">
        <v>90</v>
      </c>
      <c r="N797">
        <v>2</v>
      </c>
      <c r="O797">
        <v>1</v>
      </c>
      <c r="P797" t="s">
        <v>50</v>
      </c>
      <c r="Q797">
        <v>3</v>
      </c>
      <c r="R797" t="s">
        <v>41</v>
      </c>
      <c r="S797">
        <v>3162</v>
      </c>
      <c r="T797">
        <v>7973</v>
      </c>
      <c r="U797">
        <v>3</v>
      </c>
      <c r="V797" t="s">
        <v>42</v>
      </c>
      <c r="W797" t="s">
        <v>43</v>
      </c>
      <c r="X797">
        <v>14</v>
      </c>
      <c r="Y797">
        <v>3</v>
      </c>
      <c r="Z797">
        <v>4</v>
      </c>
      <c r="AA797">
        <v>80</v>
      </c>
      <c r="AB797">
        <v>0</v>
      </c>
      <c r="AC797">
        <v>7</v>
      </c>
      <c r="AD797">
        <v>5</v>
      </c>
      <c r="AE797">
        <v>3</v>
      </c>
      <c r="AF797">
        <v>5</v>
      </c>
      <c r="AG797">
        <v>2</v>
      </c>
      <c r="AH797">
        <v>0</v>
      </c>
      <c r="AI797">
        <v>3</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40</v>
      </c>
      <c r="B803" t="s">
        <v>43</v>
      </c>
      <c r="C803" t="s">
        <v>55</v>
      </c>
      <c r="D803">
        <v>218</v>
      </c>
      <c r="E803" t="s">
        <v>45</v>
      </c>
      <c r="F803">
        <v>8</v>
      </c>
      <c r="G803">
        <v>1</v>
      </c>
      <c r="H803" t="s">
        <v>51</v>
      </c>
      <c r="I803">
        <v>1</v>
      </c>
      <c r="J803">
        <v>1468</v>
      </c>
      <c r="K803">
        <v>4</v>
      </c>
      <c r="L803" t="s">
        <v>46</v>
      </c>
      <c r="M803">
        <v>55</v>
      </c>
      <c r="N803">
        <v>2</v>
      </c>
      <c r="O803">
        <v>3</v>
      </c>
      <c r="P803" t="s">
        <v>58</v>
      </c>
      <c r="Q803">
        <v>2</v>
      </c>
      <c r="R803" t="s">
        <v>52</v>
      </c>
      <c r="S803">
        <v>13757</v>
      </c>
      <c r="T803">
        <v>25178</v>
      </c>
      <c r="U803">
        <v>2</v>
      </c>
      <c r="V803" t="s">
        <v>42</v>
      </c>
      <c r="W803" t="s">
        <v>43</v>
      </c>
      <c r="X803">
        <v>11</v>
      </c>
      <c r="Y803">
        <v>3</v>
      </c>
      <c r="Z803">
        <v>3</v>
      </c>
      <c r="AA803">
        <v>80</v>
      </c>
      <c r="AB803">
        <v>1</v>
      </c>
      <c r="AC803">
        <v>16</v>
      </c>
      <c r="AD803">
        <v>5</v>
      </c>
      <c r="AE803">
        <v>3</v>
      </c>
      <c r="AF803">
        <v>9</v>
      </c>
      <c r="AG803">
        <v>8</v>
      </c>
      <c r="AH803">
        <v>4</v>
      </c>
      <c r="AI803">
        <v>8</v>
      </c>
    </row>
    <row r="804" spans="1:35" x14ac:dyDescent="0.35">
      <c r="A804">
        <v>45</v>
      </c>
      <c r="B804" t="s">
        <v>43</v>
      </c>
      <c r="C804" t="s">
        <v>36</v>
      </c>
      <c r="D804">
        <v>1448</v>
      </c>
      <c r="E804" t="s">
        <v>45</v>
      </c>
      <c r="F804">
        <v>29</v>
      </c>
      <c r="G804">
        <v>3</v>
      </c>
      <c r="H804" t="s">
        <v>60</v>
      </c>
      <c r="I804">
        <v>1</v>
      </c>
      <c r="J804">
        <v>1465</v>
      </c>
      <c r="K804">
        <v>2</v>
      </c>
      <c r="L804" t="s">
        <v>46</v>
      </c>
      <c r="M804">
        <v>55</v>
      </c>
      <c r="N804">
        <v>3</v>
      </c>
      <c r="O804">
        <v>3</v>
      </c>
      <c r="P804" t="s">
        <v>53</v>
      </c>
      <c r="Q804">
        <v>4</v>
      </c>
      <c r="R804" t="s">
        <v>48</v>
      </c>
      <c r="S804">
        <v>9380</v>
      </c>
      <c r="T804">
        <v>14720</v>
      </c>
      <c r="U804">
        <v>4</v>
      </c>
      <c r="V804" t="s">
        <v>42</v>
      </c>
      <c r="W804" t="s">
        <v>35</v>
      </c>
      <c r="X804">
        <v>18</v>
      </c>
      <c r="Y804">
        <v>3</v>
      </c>
      <c r="Z804">
        <v>4</v>
      </c>
      <c r="AA804">
        <v>80</v>
      </c>
      <c r="AB804">
        <v>2</v>
      </c>
      <c r="AC804">
        <v>10</v>
      </c>
      <c r="AD804">
        <v>4</v>
      </c>
      <c r="AE804">
        <v>4</v>
      </c>
      <c r="AF804">
        <v>3</v>
      </c>
      <c r="AG804">
        <v>1</v>
      </c>
      <c r="AH804">
        <v>1</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31</v>
      </c>
      <c r="B807" t="s">
        <v>35</v>
      </c>
      <c r="C807" t="s">
        <v>44</v>
      </c>
      <c r="D807">
        <v>523</v>
      </c>
      <c r="E807" t="s">
        <v>45</v>
      </c>
      <c r="F807">
        <v>2</v>
      </c>
      <c r="G807">
        <v>3</v>
      </c>
      <c r="H807" t="s">
        <v>38</v>
      </c>
      <c r="I807">
        <v>1</v>
      </c>
      <c r="J807">
        <v>1464</v>
      </c>
      <c r="K807">
        <v>2</v>
      </c>
      <c r="L807" t="s">
        <v>46</v>
      </c>
      <c r="M807">
        <v>94</v>
      </c>
      <c r="N807">
        <v>3</v>
      </c>
      <c r="O807">
        <v>1</v>
      </c>
      <c r="P807" t="s">
        <v>50</v>
      </c>
      <c r="Q807">
        <v>4</v>
      </c>
      <c r="R807" t="s">
        <v>48</v>
      </c>
      <c r="S807">
        <v>3722</v>
      </c>
      <c r="T807">
        <v>21081</v>
      </c>
      <c r="U807">
        <v>6</v>
      </c>
      <c r="V807" t="s">
        <v>42</v>
      </c>
      <c r="W807" t="s">
        <v>35</v>
      </c>
      <c r="X807">
        <v>13</v>
      </c>
      <c r="Y807">
        <v>3</v>
      </c>
      <c r="Z807">
        <v>3</v>
      </c>
      <c r="AA807">
        <v>80</v>
      </c>
      <c r="AB807">
        <v>1</v>
      </c>
      <c r="AC807">
        <v>7</v>
      </c>
      <c r="AD807">
        <v>2</v>
      </c>
      <c r="AE807">
        <v>1</v>
      </c>
      <c r="AF807">
        <v>2</v>
      </c>
      <c r="AG807">
        <v>2</v>
      </c>
      <c r="AH807">
        <v>2</v>
      </c>
      <c r="AI807">
        <v>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45</v>
      </c>
      <c r="B809" t="s">
        <v>43</v>
      </c>
      <c r="C809" t="s">
        <v>36</v>
      </c>
      <c r="D809">
        <v>1038</v>
      </c>
      <c r="E809" t="s">
        <v>45</v>
      </c>
      <c r="F809">
        <v>20</v>
      </c>
      <c r="G809">
        <v>3</v>
      </c>
      <c r="H809" t="s">
        <v>51</v>
      </c>
      <c r="I809">
        <v>1</v>
      </c>
      <c r="J809">
        <v>1460</v>
      </c>
      <c r="K809">
        <v>2</v>
      </c>
      <c r="L809" t="s">
        <v>46</v>
      </c>
      <c r="M809">
        <v>95</v>
      </c>
      <c r="N809">
        <v>1</v>
      </c>
      <c r="O809">
        <v>3</v>
      </c>
      <c r="P809" t="s">
        <v>54</v>
      </c>
      <c r="Q809">
        <v>1</v>
      </c>
      <c r="R809" t="s">
        <v>52</v>
      </c>
      <c r="S809">
        <v>10851</v>
      </c>
      <c r="T809">
        <v>19863</v>
      </c>
      <c r="U809">
        <v>2</v>
      </c>
      <c r="V809" t="s">
        <v>42</v>
      </c>
      <c r="W809" t="s">
        <v>35</v>
      </c>
      <c r="X809">
        <v>18</v>
      </c>
      <c r="Y809">
        <v>3</v>
      </c>
      <c r="Z809">
        <v>2</v>
      </c>
      <c r="AA809">
        <v>80</v>
      </c>
      <c r="AB809">
        <v>1</v>
      </c>
      <c r="AC809">
        <v>24</v>
      </c>
      <c r="AD809">
        <v>2</v>
      </c>
      <c r="AE809">
        <v>3</v>
      </c>
      <c r="AF809">
        <v>7</v>
      </c>
      <c r="AG809">
        <v>7</v>
      </c>
      <c r="AH809">
        <v>0</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31</v>
      </c>
      <c r="B812" t="s">
        <v>35</v>
      </c>
      <c r="C812" t="s">
        <v>44</v>
      </c>
      <c r="D812">
        <v>1445</v>
      </c>
      <c r="E812" t="s">
        <v>45</v>
      </c>
      <c r="F812">
        <v>1</v>
      </c>
      <c r="G812">
        <v>5</v>
      </c>
      <c r="H812" t="s">
        <v>38</v>
      </c>
      <c r="I812">
        <v>1</v>
      </c>
      <c r="J812">
        <v>1459</v>
      </c>
      <c r="K812">
        <v>3</v>
      </c>
      <c r="L812" t="s">
        <v>39</v>
      </c>
      <c r="M812">
        <v>100</v>
      </c>
      <c r="N812">
        <v>4</v>
      </c>
      <c r="O812">
        <v>3</v>
      </c>
      <c r="P812" t="s">
        <v>53</v>
      </c>
      <c r="Q812">
        <v>2</v>
      </c>
      <c r="R812" t="s">
        <v>41</v>
      </c>
      <c r="S812">
        <v>7446</v>
      </c>
      <c r="T812">
        <v>8931</v>
      </c>
      <c r="U812">
        <v>1</v>
      </c>
      <c r="V812" t="s">
        <v>42</v>
      </c>
      <c r="W812" t="s">
        <v>43</v>
      </c>
      <c r="X812">
        <v>11</v>
      </c>
      <c r="Y812">
        <v>3</v>
      </c>
      <c r="Z812">
        <v>1</v>
      </c>
      <c r="AA812">
        <v>80</v>
      </c>
      <c r="AB812">
        <v>0</v>
      </c>
      <c r="AC812">
        <v>10</v>
      </c>
      <c r="AD812">
        <v>2</v>
      </c>
      <c r="AE812">
        <v>3</v>
      </c>
      <c r="AF812">
        <v>10</v>
      </c>
      <c r="AG812">
        <v>8</v>
      </c>
      <c r="AH812">
        <v>4</v>
      </c>
      <c r="AI812">
        <v>7</v>
      </c>
    </row>
    <row r="813" spans="1:35" x14ac:dyDescent="0.35">
      <c r="A813">
        <v>39</v>
      </c>
      <c r="B813" t="s">
        <v>35</v>
      </c>
      <c r="C813" t="s">
        <v>55</v>
      </c>
      <c r="D813">
        <v>592</v>
      </c>
      <c r="E813" t="s">
        <v>45</v>
      </c>
      <c r="F813">
        <v>2</v>
      </c>
      <c r="G813">
        <v>3</v>
      </c>
      <c r="H813" t="s">
        <v>38</v>
      </c>
      <c r="I813">
        <v>1</v>
      </c>
      <c r="J813">
        <v>1458</v>
      </c>
      <c r="K813">
        <v>1</v>
      </c>
      <c r="L813" t="s">
        <v>39</v>
      </c>
      <c r="M813">
        <v>54</v>
      </c>
      <c r="N813">
        <v>2</v>
      </c>
      <c r="O813">
        <v>1</v>
      </c>
      <c r="P813" t="s">
        <v>50</v>
      </c>
      <c r="Q813">
        <v>1</v>
      </c>
      <c r="R813" t="s">
        <v>41</v>
      </c>
      <c r="S813">
        <v>3646</v>
      </c>
      <c r="T813">
        <v>17181</v>
      </c>
      <c r="U813">
        <v>2</v>
      </c>
      <c r="V813" t="s">
        <v>42</v>
      </c>
      <c r="W813" t="s">
        <v>35</v>
      </c>
      <c r="X813">
        <v>23</v>
      </c>
      <c r="Y813">
        <v>4</v>
      </c>
      <c r="Z813">
        <v>2</v>
      </c>
      <c r="AA813">
        <v>80</v>
      </c>
      <c r="AB813">
        <v>0</v>
      </c>
      <c r="AC813">
        <v>11</v>
      </c>
      <c r="AD813">
        <v>2</v>
      </c>
      <c r="AE813">
        <v>4</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40</v>
      </c>
      <c r="B820" t="s">
        <v>43</v>
      </c>
      <c r="C820" t="s">
        <v>55</v>
      </c>
      <c r="D820">
        <v>663</v>
      </c>
      <c r="E820" t="s">
        <v>45</v>
      </c>
      <c r="F820">
        <v>9</v>
      </c>
      <c r="G820">
        <v>4</v>
      </c>
      <c r="H820" t="s">
        <v>49</v>
      </c>
      <c r="I820">
        <v>1</v>
      </c>
      <c r="J820">
        <v>1449</v>
      </c>
      <c r="K820">
        <v>3</v>
      </c>
      <c r="L820" t="s">
        <v>46</v>
      </c>
      <c r="M820">
        <v>81</v>
      </c>
      <c r="N820">
        <v>3</v>
      </c>
      <c r="O820">
        <v>2</v>
      </c>
      <c r="P820" t="s">
        <v>50</v>
      </c>
      <c r="Q820">
        <v>3</v>
      </c>
      <c r="R820" t="s">
        <v>52</v>
      </c>
      <c r="S820">
        <v>3975</v>
      </c>
      <c r="T820">
        <v>23099</v>
      </c>
      <c r="U820">
        <v>3</v>
      </c>
      <c r="V820" t="s">
        <v>42</v>
      </c>
      <c r="W820" t="s">
        <v>43</v>
      </c>
      <c r="X820">
        <v>11</v>
      </c>
      <c r="Y820">
        <v>3</v>
      </c>
      <c r="Z820">
        <v>3</v>
      </c>
      <c r="AA820">
        <v>80</v>
      </c>
      <c r="AB820">
        <v>2</v>
      </c>
      <c r="AC820">
        <v>11</v>
      </c>
      <c r="AD820">
        <v>2</v>
      </c>
      <c r="AE820">
        <v>4</v>
      </c>
      <c r="AF820">
        <v>8</v>
      </c>
      <c r="AG820">
        <v>7</v>
      </c>
      <c r="AH820">
        <v>0</v>
      </c>
      <c r="AI820">
        <v>7</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41</v>
      </c>
      <c r="B822" t="s">
        <v>43</v>
      </c>
      <c r="C822" t="s">
        <v>36</v>
      </c>
      <c r="D822">
        <v>1283</v>
      </c>
      <c r="E822" t="s">
        <v>45</v>
      </c>
      <c r="F822">
        <v>5</v>
      </c>
      <c r="G822">
        <v>5</v>
      </c>
      <c r="H822" t="s">
        <v>51</v>
      </c>
      <c r="I822">
        <v>1</v>
      </c>
      <c r="J822">
        <v>1448</v>
      </c>
      <c r="K822">
        <v>2</v>
      </c>
      <c r="L822" t="s">
        <v>46</v>
      </c>
      <c r="M822">
        <v>90</v>
      </c>
      <c r="N822">
        <v>4</v>
      </c>
      <c r="O822">
        <v>1</v>
      </c>
      <c r="P822" t="s">
        <v>47</v>
      </c>
      <c r="Q822">
        <v>3</v>
      </c>
      <c r="R822" t="s">
        <v>48</v>
      </c>
      <c r="S822">
        <v>2127</v>
      </c>
      <c r="T822">
        <v>5561</v>
      </c>
      <c r="U822">
        <v>2</v>
      </c>
      <c r="V822" t="s">
        <v>42</v>
      </c>
      <c r="W822" t="s">
        <v>35</v>
      </c>
      <c r="X822">
        <v>12</v>
      </c>
      <c r="Y822">
        <v>3</v>
      </c>
      <c r="Z822">
        <v>1</v>
      </c>
      <c r="AA822">
        <v>80</v>
      </c>
      <c r="AB822">
        <v>0</v>
      </c>
      <c r="AC822">
        <v>7</v>
      </c>
      <c r="AD822">
        <v>5</v>
      </c>
      <c r="AE822">
        <v>2</v>
      </c>
      <c r="AF822">
        <v>4</v>
      </c>
      <c r="AG822">
        <v>2</v>
      </c>
      <c r="AH822">
        <v>0</v>
      </c>
      <c r="AI822">
        <v>3</v>
      </c>
    </row>
    <row r="823" spans="1:35" x14ac:dyDescent="0.35">
      <c r="A823">
        <v>34</v>
      </c>
      <c r="B823" t="s">
        <v>43</v>
      </c>
      <c r="C823" t="s">
        <v>36</v>
      </c>
      <c r="D823">
        <v>401</v>
      </c>
      <c r="E823" t="s">
        <v>45</v>
      </c>
      <c r="F823">
        <v>1</v>
      </c>
      <c r="G823">
        <v>3</v>
      </c>
      <c r="H823" t="s">
        <v>38</v>
      </c>
      <c r="I823">
        <v>1</v>
      </c>
      <c r="J823">
        <v>1447</v>
      </c>
      <c r="K823">
        <v>4</v>
      </c>
      <c r="L823" t="s">
        <v>39</v>
      </c>
      <c r="M823">
        <v>86</v>
      </c>
      <c r="N823">
        <v>2</v>
      </c>
      <c r="O823">
        <v>1</v>
      </c>
      <c r="P823" t="s">
        <v>50</v>
      </c>
      <c r="Q823">
        <v>2</v>
      </c>
      <c r="R823" t="s">
        <v>48</v>
      </c>
      <c r="S823">
        <v>3294</v>
      </c>
      <c r="T823">
        <v>3708</v>
      </c>
      <c r="U823">
        <v>5</v>
      </c>
      <c r="V823" t="s">
        <v>42</v>
      </c>
      <c r="W823" t="s">
        <v>43</v>
      </c>
      <c r="X823">
        <v>17</v>
      </c>
      <c r="Y823">
        <v>3</v>
      </c>
      <c r="Z823">
        <v>1</v>
      </c>
      <c r="AA823">
        <v>80</v>
      </c>
      <c r="AB823">
        <v>1</v>
      </c>
      <c r="AC823">
        <v>7</v>
      </c>
      <c r="AD823">
        <v>2</v>
      </c>
      <c r="AE823">
        <v>2</v>
      </c>
      <c r="AF823">
        <v>5</v>
      </c>
      <c r="AG823">
        <v>4</v>
      </c>
      <c r="AH823">
        <v>0</v>
      </c>
      <c r="AI823">
        <v>2</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47</v>
      </c>
      <c r="B828" t="s">
        <v>43</v>
      </c>
      <c r="C828" t="s">
        <v>36</v>
      </c>
      <c r="D828">
        <v>359</v>
      </c>
      <c r="E828" t="s">
        <v>45</v>
      </c>
      <c r="F828">
        <v>2</v>
      </c>
      <c r="G828">
        <v>4</v>
      </c>
      <c r="H828" t="s">
        <v>51</v>
      </c>
      <c r="I828">
        <v>1</v>
      </c>
      <c r="J828">
        <v>1443</v>
      </c>
      <c r="K828">
        <v>1</v>
      </c>
      <c r="L828" t="s">
        <v>39</v>
      </c>
      <c r="M828">
        <v>82</v>
      </c>
      <c r="N828">
        <v>3</v>
      </c>
      <c r="O828">
        <v>4</v>
      </c>
      <c r="P828" t="s">
        <v>58</v>
      </c>
      <c r="Q828">
        <v>3</v>
      </c>
      <c r="R828" t="s">
        <v>48</v>
      </c>
      <c r="S828">
        <v>17169</v>
      </c>
      <c r="T828">
        <v>26703</v>
      </c>
      <c r="U828">
        <v>3</v>
      </c>
      <c r="V828" t="s">
        <v>42</v>
      </c>
      <c r="W828" t="s">
        <v>43</v>
      </c>
      <c r="X828">
        <v>19</v>
      </c>
      <c r="Y828">
        <v>3</v>
      </c>
      <c r="Z828">
        <v>2</v>
      </c>
      <c r="AA828">
        <v>80</v>
      </c>
      <c r="AB828">
        <v>2</v>
      </c>
      <c r="AC828">
        <v>26</v>
      </c>
      <c r="AD828">
        <v>2</v>
      </c>
      <c r="AE828">
        <v>4</v>
      </c>
      <c r="AF828">
        <v>20</v>
      </c>
      <c r="AG828">
        <v>17</v>
      </c>
      <c r="AH828">
        <v>5</v>
      </c>
      <c r="AI828">
        <v>6</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56</v>
      </c>
      <c r="B831" t="s">
        <v>43</v>
      </c>
      <c r="C831" t="s">
        <v>36</v>
      </c>
      <c r="D831">
        <v>1255</v>
      </c>
      <c r="E831" t="s">
        <v>45</v>
      </c>
      <c r="F831">
        <v>1</v>
      </c>
      <c r="G831">
        <v>2</v>
      </c>
      <c r="H831" t="s">
        <v>38</v>
      </c>
      <c r="I831">
        <v>1</v>
      </c>
      <c r="J831">
        <v>1441</v>
      </c>
      <c r="K831">
        <v>1</v>
      </c>
      <c r="L831" t="s">
        <v>39</v>
      </c>
      <c r="M831">
        <v>90</v>
      </c>
      <c r="N831">
        <v>3</v>
      </c>
      <c r="O831">
        <v>1</v>
      </c>
      <c r="P831" t="s">
        <v>47</v>
      </c>
      <c r="Q831">
        <v>1</v>
      </c>
      <c r="R831" t="s">
        <v>48</v>
      </c>
      <c r="S831">
        <v>2066</v>
      </c>
      <c r="T831">
        <v>10494</v>
      </c>
      <c r="U831">
        <v>2</v>
      </c>
      <c r="V831" t="s">
        <v>42</v>
      </c>
      <c r="W831" t="s">
        <v>43</v>
      </c>
      <c r="X831">
        <v>22</v>
      </c>
      <c r="Y831">
        <v>4</v>
      </c>
      <c r="Z831">
        <v>4</v>
      </c>
      <c r="AA831">
        <v>80</v>
      </c>
      <c r="AB831">
        <v>1</v>
      </c>
      <c r="AC831">
        <v>5</v>
      </c>
      <c r="AD831">
        <v>3</v>
      </c>
      <c r="AE831">
        <v>4</v>
      </c>
      <c r="AF831">
        <v>3</v>
      </c>
      <c r="AG831">
        <v>2</v>
      </c>
      <c r="AH831">
        <v>1</v>
      </c>
      <c r="AI831">
        <v>0</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37</v>
      </c>
      <c r="B836" t="s">
        <v>43</v>
      </c>
      <c r="C836" t="s">
        <v>55</v>
      </c>
      <c r="D836">
        <v>1413</v>
      </c>
      <c r="E836" t="s">
        <v>45</v>
      </c>
      <c r="F836">
        <v>5</v>
      </c>
      <c r="G836">
        <v>2</v>
      </c>
      <c r="H836" t="s">
        <v>60</v>
      </c>
      <c r="I836">
        <v>1</v>
      </c>
      <c r="J836">
        <v>1440</v>
      </c>
      <c r="K836">
        <v>3</v>
      </c>
      <c r="L836" t="s">
        <v>46</v>
      </c>
      <c r="M836">
        <v>84</v>
      </c>
      <c r="N836">
        <v>4</v>
      </c>
      <c r="O836">
        <v>1</v>
      </c>
      <c r="P836" t="s">
        <v>50</v>
      </c>
      <c r="Q836">
        <v>3</v>
      </c>
      <c r="R836" t="s">
        <v>41</v>
      </c>
      <c r="S836">
        <v>3500</v>
      </c>
      <c r="T836">
        <v>25470</v>
      </c>
      <c r="U836">
        <v>0</v>
      </c>
      <c r="V836" t="s">
        <v>42</v>
      </c>
      <c r="W836" t="s">
        <v>43</v>
      </c>
      <c r="X836">
        <v>14</v>
      </c>
      <c r="Y836">
        <v>3</v>
      </c>
      <c r="Z836">
        <v>1</v>
      </c>
      <c r="AA836">
        <v>80</v>
      </c>
      <c r="AB836">
        <v>0</v>
      </c>
      <c r="AC836">
        <v>7</v>
      </c>
      <c r="AD836">
        <v>2</v>
      </c>
      <c r="AE836">
        <v>1</v>
      </c>
      <c r="AF836">
        <v>6</v>
      </c>
      <c r="AG836">
        <v>5</v>
      </c>
      <c r="AH836">
        <v>1</v>
      </c>
      <c r="AI836">
        <v>3</v>
      </c>
    </row>
    <row r="837" spans="1:35" x14ac:dyDescent="0.35">
      <c r="A837">
        <v>47</v>
      </c>
      <c r="B837" t="s">
        <v>43</v>
      </c>
      <c r="C837" t="s">
        <v>36</v>
      </c>
      <c r="D837">
        <v>465</v>
      </c>
      <c r="E837" t="s">
        <v>45</v>
      </c>
      <c r="F837">
        <v>1</v>
      </c>
      <c r="G837">
        <v>3</v>
      </c>
      <c r="H837" t="s">
        <v>60</v>
      </c>
      <c r="I837">
        <v>1</v>
      </c>
      <c r="J837">
        <v>1438</v>
      </c>
      <c r="K837">
        <v>1</v>
      </c>
      <c r="L837" t="s">
        <v>46</v>
      </c>
      <c r="M837">
        <v>74</v>
      </c>
      <c r="N837">
        <v>3</v>
      </c>
      <c r="O837">
        <v>1</v>
      </c>
      <c r="P837" t="s">
        <v>47</v>
      </c>
      <c r="Q837">
        <v>4</v>
      </c>
      <c r="R837" t="s">
        <v>48</v>
      </c>
      <c r="S837">
        <v>3420</v>
      </c>
      <c r="T837">
        <v>10205</v>
      </c>
      <c r="U837">
        <v>7</v>
      </c>
      <c r="V837" t="s">
        <v>42</v>
      </c>
      <c r="W837" t="s">
        <v>43</v>
      </c>
      <c r="X837">
        <v>12</v>
      </c>
      <c r="Y837">
        <v>3</v>
      </c>
      <c r="Z837">
        <v>3</v>
      </c>
      <c r="AA837">
        <v>80</v>
      </c>
      <c r="AB837">
        <v>1</v>
      </c>
      <c r="AC837">
        <v>17</v>
      </c>
      <c r="AD837">
        <v>2</v>
      </c>
      <c r="AE837">
        <v>2</v>
      </c>
      <c r="AF837">
        <v>6</v>
      </c>
      <c r="AG837">
        <v>5</v>
      </c>
      <c r="AH837">
        <v>1</v>
      </c>
      <c r="AI837">
        <v>2</v>
      </c>
    </row>
    <row r="838" spans="1:35" x14ac:dyDescent="0.35">
      <c r="A838">
        <v>36</v>
      </c>
      <c r="B838" t="s">
        <v>43</v>
      </c>
      <c r="C838" t="s">
        <v>36</v>
      </c>
      <c r="D838">
        <v>172</v>
      </c>
      <c r="E838" t="s">
        <v>45</v>
      </c>
      <c r="F838">
        <v>4</v>
      </c>
      <c r="G838">
        <v>4</v>
      </c>
      <c r="H838" t="s">
        <v>38</v>
      </c>
      <c r="I838">
        <v>1</v>
      </c>
      <c r="J838">
        <v>1435</v>
      </c>
      <c r="K838">
        <v>1</v>
      </c>
      <c r="L838" t="s">
        <v>46</v>
      </c>
      <c r="M838">
        <v>37</v>
      </c>
      <c r="N838">
        <v>2</v>
      </c>
      <c r="O838">
        <v>2</v>
      </c>
      <c r="P838" t="s">
        <v>50</v>
      </c>
      <c r="Q838">
        <v>4</v>
      </c>
      <c r="R838" t="s">
        <v>41</v>
      </c>
      <c r="S838">
        <v>5810</v>
      </c>
      <c r="T838">
        <v>22604</v>
      </c>
      <c r="U838">
        <v>1</v>
      </c>
      <c r="V838" t="s">
        <v>42</v>
      </c>
      <c r="W838" t="s">
        <v>43</v>
      </c>
      <c r="X838">
        <v>16</v>
      </c>
      <c r="Y838">
        <v>3</v>
      </c>
      <c r="Z838">
        <v>3</v>
      </c>
      <c r="AA838">
        <v>80</v>
      </c>
      <c r="AB838">
        <v>0</v>
      </c>
      <c r="AC838">
        <v>10</v>
      </c>
      <c r="AD838">
        <v>2</v>
      </c>
      <c r="AE838">
        <v>2</v>
      </c>
      <c r="AF838">
        <v>10</v>
      </c>
      <c r="AG838">
        <v>4</v>
      </c>
      <c r="AH838">
        <v>1</v>
      </c>
      <c r="AI838">
        <v>8</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27</v>
      </c>
      <c r="B840" t="s">
        <v>43</v>
      </c>
      <c r="C840" t="s">
        <v>36</v>
      </c>
      <c r="D840">
        <v>1377</v>
      </c>
      <c r="E840" t="s">
        <v>45</v>
      </c>
      <c r="F840">
        <v>11</v>
      </c>
      <c r="G840">
        <v>1</v>
      </c>
      <c r="H840" t="s">
        <v>38</v>
      </c>
      <c r="I840">
        <v>1</v>
      </c>
      <c r="J840">
        <v>1434</v>
      </c>
      <c r="K840">
        <v>2</v>
      </c>
      <c r="L840" t="s">
        <v>46</v>
      </c>
      <c r="M840">
        <v>91</v>
      </c>
      <c r="N840">
        <v>3</v>
      </c>
      <c r="O840">
        <v>1</v>
      </c>
      <c r="P840" t="s">
        <v>50</v>
      </c>
      <c r="Q840">
        <v>1</v>
      </c>
      <c r="R840" t="s">
        <v>48</v>
      </c>
      <c r="S840">
        <v>2099</v>
      </c>
      <c r="T840">
        <v>7679</v>
      </c>
      <c r="U840">
        <v>0</v>
      </c>
      <c r="V840" t="s">
        <v>42</v>
      </c>
      <c r="W840" t="s">
        <v>43</v>
      </c>
      <c r="X840">
        <v>14</v>
      </c>
      <c r="Y840">
        <v>3</v>
      </c>
      <c r="Z840">
        <v>2</v>
      </c>
      <c r="AA840">
        <v>80</v>
      </c>
      <c r="AB840">
        <v>0</v>
      </c>
      <c r="AC840">
        <v>6</v>
      </c>
      <c r="AD840">
        <v>3</v>
      </c>
      <c r="AE840">
        <v>4</v>
      </c>
      <c r="AF840">
        <v>5</v>
      </c>
      <c r="AG840">
        <v>0</v>
      </c>
      <c r="AH840">
        <v>1</v>
      </c>
      <c r="AI840">
        <v>4</v>
      </c>
    </row>
    <row r="841" spans="1:35" x14ac:dyDescent="0.35">
      <c r="A841">
        <v>31</v>
      </c>
      <c r="B841" t="s">
        <v>35</v>
      </c>
      <c r="C841" t="s">
        <v>36</v>
      </c>
      <c r="D841">
        <v>202</v>
      </c>
      <c r="E841" t="s">
        <v>45</v>
      </c>
      <c r="F841">
        <v>8</v>
      </c>
      <c r="G841">
        <v>3</v>
      </c>
      <c r="H841" t="s">
        <v>38</v>
      </c>
      <c r="I841">
        <v>1</v>
      </c>
      <c r="J841">
        <v>1433</v>
      </c>
      <c r="K841">
        <v>1</v>
      </c>
      <c r="L841" t="s">
        <v>39</v>
      </c>
      <c r="M841">
        <v>34</v>
      </c>
      <c r="N841">
        <v>2</v>
      </c>
      <c r="O841">
        <v>1</v>
      </c>
      <c r="P841" t="s">
        <v>47</v>
      </c>
      <c r="Q841">
        <v>2</v>
      </c>
      <c r="R841" t="s">
        <v>41</v>
      </c>
      <c r="S841">
        <v>1261</v>
      </c>
      <c r="T841">
        <v>22262</v>
      </c>
      <c r="U841">
        <v>1</v>
      </c>
      <c r="V841" t="s">
        <v>42</v>
      </c>
      <c r="W841" t="s">
        <v>43</v>
      </c>
      <c r="X841">
        <v>12</v>
      </c>
      <c r="Y841">
        <v>3</v>
      </c>
      <c r="Z841">
        <v>3</v>
      </c>
      <c r="AA841">
        <v>80</v>
      </c>
      <c r="AB841">
        <v>0</v>
      </c>
      <c r="AC841">
        <v>1</v>
      </c>
      <c r="AD841">
        <v>3</v>
      </c>
      <c r="AE841">
        <v>4</v>
      </c>
      <c r="AF841">
        <v>1</v>
      </c>
      <c r="AG841">
        <v>0</v>
      </c>
      <c r="AH841">
        <v>0</v>
      </c>
      <c r="AI841">
        <v>0</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34</v>
      </c>
      <c r="B846" t="s">
        <v>43</v>
      </c>
      <c r="C846" t="s">
        <v>44</v>
      </c>
      <c r="D846">
        <v>560</v>
      </c>
      <c r="E846" t="s">
        <v>45</v>
      </c>
      <c r="F846">
        <v>1</v>
      </c>
      <c r="G846">
        <v>4</v>
      </c>
      <c r="H846" t="s">
        <v>49</v>
      </c>
      <c r="I846">
        <v>1</v>
      </c>
      <c r="J846">
        <v>1431</v>
      </c>
      <c r="K846">
        <v>4</v>
      </c>
      <c r="L846" t="s">
        <v>46</v>
      </c>
      <c r="M846">
        <v>91</v>
      </c>
      <c r="N846">
        <v>3</v>
      </c>
      <c r="O846">
        <v>1</v>
      </c>
      <c r="P846" t="s">
        <v>47</v>
      </c>
      <c r="Q846">
        <v>1</v>
      </c>
      <c r="R846" t="s">
        <v>52</v>
      </c>
      <c r="S846">
        <v>2996</v>
      </c>
      <c r="T846">
        <v>20284</v>
      </c>
      <c r="U846">
        <v>5</v>
      </c>
      <c r="V846" t="s">
        <v>42</v>
      </c>
      <c r="W846" t="s">
        <v>43</v>
      </c>
      <c r="X846">
        <v>14</v>
      </c>
      <c r="Y846">
        <v>3</v>
      </c>
      <c r="Z846">
        <v>3</v>
      </c>
      <c r="AA846">
        <v>80</v>
      </c>
      <c r="AB846">
        <v>2</v>
      </c>
      <c r="AC846">
        <v>10</v>
      </c>
      <c r="AD846">
        <v>2</v>
      </c>
      <c r="AE846">
        <v>3</v>
      </c>
      <c r="AF846">
        <v>4</v>
      </c>
      <c r="AG846">
        <v>3</v>
      </c>
      <c r="AH846">
        <v>1</v>
      </c>
      <c r="AI846">
        <v>3</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31</v>
      </c>
      <c r="B851" t="s">
        <v>43</v>
      </c>
      <c r="C851" t="s">
        <v>36</v>
      </c>
      <c r="D851">
        <v>182</v>
      </c>
      <c r="E851" t="s">
        <v>45</v>
      </c>
      <c r="F851">
        <v>8</v>
      </c>
      <c r="G851">
        <v>5</v>
      </c>
      <c r="H851" t="s">
        <v>38</v>
      </c>
      <c r="I851">
        <v>1</v>
      </c>
      <c r="J851">
        <v>1430</v>
      </c>
      <c r="K851">
        <v>1</v>
      </c>
      <c r="L851" t="s">
        <v>39</v>
      </c>
      <c r="M851">
        <v>93</v>
      </c>
      <c r="N851">
        <v>3</v>
      </c>
      <c r="O851">
        <v>4</v>
      </c>
      <c r="P851" t="s">
        <v>58</v>
      </c>
      <c r="Q851">
        <v>2</v>
      </c>
      <c r="R851" t="s">
        <v>41</v>
      </c>
      <c r="S851">
        <v>16422</v>
      </c>
      <c r="T851">
        <v>8847</v>
      </c>
      <c r="U851">
        <v>3</v>
      </c>
      <c r="V851" t="s">
        <v>42</v>
      </c>
      <c r="W851" t="s">
        <v>43</v>
      </c>
      <c r="X851">
        <v>11</v>
      </c>
      <c r="Y851">
        <v>3</v>
      </c>
      <c r="Z851">
        <v>3</v>
      </c>
      <c r="AA851">
        <v>80</v>
      </c>
      <c r="AB851">
        <v>0</v>
      </c>
      <c r="AC851">
        <v>9</v>
      </c>
      <c r="AD851">
        <v>3</v>
      </c>
      <c r="AE851">
        <v>4</v>
      </c>
      <c r="AF851">
        <v>3</v>
      </c>
      <c r="AG851">
        <v>2</v>
      </c>
      <c r="AH851">
        <v>1</v>
      </c>
      <c r="AI851">
        <v>0</v>
      </c>
    </row>
    <row r="852" spans="1:35" x14ac:dyDescent="0.35">
      <c r="A852">
        <v>55</v>
      </c>
      <c r="B852" t="s">
        <v>43</v>
      </c>
      <c r="C852" t="s">
        <v>36</v>
      </c>
      <c r="D852">
        <v>1136</v>
      </c>
      <c r="E852" t="s">
        <v>45</v>
      </c>
      <c r="F852">
        <v>1</v>
      </c>
      <c r="G852">
        <v>4</v>
      </c>
      <c r="H852" t="s">
        <v>51</v>
      </c>
      <c r="I852">
        <v>1</v>
      </c>
      <c r="J852">
        <v>1424</v>
      </c>
      <c r="K852">
        <v>2</v>
      </c>
      <c r="L852" t="s">
        <v>46</v>
      </c>
      <c r="M852">
        <v>81</v>
      </c>
      <c r="N852">
        <v>4</v>
      </c>
      <c r="O852">
        <v>4</v>
      </c>
      <c r="P852" t="s">
        <v>58</v>
      </c>
      <c r="Q852">
        <v>4</v>
      </c>
      <c r="R852" t="s">
        <v>52</v>
      </c>
      <c r="S852">
        <v>14732</v>
      </c>
      <c r="T852">
        <v>12414</v>
      </c>
      <c r="U852">
        <v>2</v>
      </c>
      <c r="V852" t="s">
        <v>42</v>
      </c>
      <c r="W852" t="s">
        <v>43</v>
      </c>
      <c r="X852">
        <v>13</v>
      </c>
      <c r="Y852">
        <v>3</v>
      </c>
      <c r="Z852">
        <v>4</v>
      </c>
      <c r="AA852">
        <v>80</v>
      </c>
      <c r="AB852">
        <v>2</v>
      </c>
      <c r="AC852">
        <v>31</v>
      </c>
      <c r="AD852">
        <v>4</v>
      </c>
      <c r="AE852">
        <v>4</v>
      </c>
      <c r="AF852">
        <v>7</v>
      </c>
      <c r="AG852">
        <v>7</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58</v>
      </c>
      <c r="B863" t="s">
        <v>43</v>
      </c>
      <c r="C863" t="s">
        <v>36</v>
      </c>
      <c r="D863">
        <v>1055</v>
      </c>
      <c r="E863" t="s">
        <v>45</v>
      </c>
      <c r="F863">
        <v>1</v>
      </c>
      <c r="G863">
        <v>3</v>
      </c>
      <c r="H863" t="s">
        <v>51</v>
      </c>
      <c r="I863">
        <v>1</v>
      </c>
      <c r="J863">
        <v>1423</v>
      </c>
      <c r="K863">
        <v>4</v>
      </c>
      <c r="L863" t="s">
        <v>39</v>
      </c>
      <c r="M863">
        <v>76</v>
      </c>
      <c r="N863">
        <v>3</v>
      </c>
      <c r="O863">
        <v>5</v>
      </c>
      <c r="P863" t="s">
        <v>58</v>
      </c>
      <c r="Q863">
        <v>1</v>
      </c>
      <c r="R863" t="s">
        <v>48</v>
      </c>
      <c r="S863">
        <v>19701</v>
      </c>
      <c r="T863">
        <v>22456</v>
      </c>
      <c r="U863">
        <v>3</v>
      </c>
      <c r="V863" t="s">
        <v>42</v>
      </c>
      <c r="W863" t="s">
        <v>35</v>
      </c>
      <c r="X863">
        <v>21</v>
      </c>
      <c r="Y863">
        <v>4</v>
      </c>
      <c r="Z863">
        <v>3</v>
      </c>
      <c r="AA863">
        <v>80</v>
      </c>
      <c r="AB863">
        <v>1</v>
      </c>
      <c r="AC863">
        <v>32</v>
      </c>
      <c r="AD863">
        <v>3</v>
      </c>
      <c r="AE863">
        <v>3</v>
      </c>
      <c r="AF863">
        <v>9</v>
      </c>
      <c r="AG863">
        <v>8</v>
      </c>
      <c r="AH863">
        <v>1</v>
      </c>
      <c r="AI863">
        <v>5</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54</v>
      </c>
      <c r="B865" t="s">
        <v>43</v>
      </c>
      <c r="C865" t="s">
        <v>36</v>
      </c>
      <c r="D865">
        <v>971</v>
      </c>
      <c r="E865" t="s">
        <v>45</v>
      </c>
      <c r="F865">
        <v>1</v>
      </c>
      <c r="G865">
        <v>3</v>
      </c>
      <c r="H865" t="s">
        <v>51</v>
      </c>
      <c r="I865">
        <v>1</v>
      </c>
      <c r="J865">
        <v>1422</v>
      </c>
      <c r="K865">
        <v>4</v>
      </c>
      <c r="L865" t="s">
        <v>39</v>
      </c>
      <c r="M865">
        <v>54</v>
      </c>
      <c r="N865">
        <v>3</v>
      </c>
      <c r="O865">
        <v>4</v>
      </c>
      <c r="P865" t="s">
        <v>58</v>
      </c>
      <c r="Q865">
        <v>4</v>
      </c>
      <c r="R865" t="s">
        <v>41</v>
      </c>
      <c r="S865">
        <v>17328</v>
      </c>
      <c r="T865">
        <v>5652</v>
      </c>
      <c r="U865">
        <v>6</v>
      </c>
      <c r="V865" t="s">
        <v>42</v>
      </c>
      <c r="W865" t="s">
        <v>43</v>
      </c>
      <c r="X865">
        <v>19</v>
      </c>
      <c r="Y865">
        <v>3</v>
      </c>
      <c r="Z865">
        <v>4</v>
      </c>
      <c r="AA865">
        <v>80</v>
      </c>
      <c r="AB865">
        <v>0</v>
      </c>
      <c r="AC865">
        <v>29</v>
      </c>
      <c r="AD865">
        <v>3</v>
      </c>
      <c r="AE865">
        <v>2</v>
      </c>
      <c r="AF865">
        <v>20</v>
      </c>
      <c r="AG865">
        <v>7</v>
      </c>
      <c r="AH865">
        <v>12</v>
      </c>
      <c r="AI865">
        <v>7</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29</v>
      </c>
      <c r="B867" t="s">
        <v>35</v>
      </c>
      <c r="C867" t="s">
        <v>44</v>
      </c>
      <c r="D867">
        <v>337</v>
      </c>
      <c r="E867" t="s">
        <v>45</v>
      </c>
      <c r="F867">
        <v>14</v>
      </c>
      <c r="G867">
        <v>1</v>
      </c>
      <c r="H867" t="s">
        <v>49</v>
      </c>
      <c r="I867">
        <v>1</v>
      </c>
      <c r="J867">
        <v>1421</v>
      </c>
      <c r="K867">
        <v>3</v>
      </c>
      <c r="L867" t="s">
        <v>39</v>
      </c>
      <c r="M867">
        <v>84</v>
      </c>
      <c r="N867">
        <v>3</v>
      </c>
      <c r="O867">
        <v>3</v>
      </c>
      <c r="P867" t="s">
        <v>54</v>
      </c>
      <c r="Q867">
        <v>4</v>
      </c>
      <c r="R867" t="s">
        <v>41</v>
      </c>
      <c r="S867">
        <v>7553</v>
      </c>
      <c r="T867">
        <v>22930</v>
      </c>
      <c r="U867">
        <v>0</v>
      </c>
      <c r="V867" t="s">
        <v>42</v>
      </c>
      <c r="W867" t="s">
        <v>35</v>
      </c>
      <c r="X867">
        <v>12</v>
      </c>
      <c r="Y867">
        <v>3</v>
      </c>
      <c r="Z867">
        <v>1</v>
      </c>
      <c r="AA867">
        <v>80</v>
      </c>
      <c r="AB867">
        <v>0</v>
      </c>
      <c r="AC867">
        <v>9</v>
      </c>
      <c r="AD867">
        <v>1</v>
      </c>
      <c r="AE867">
        <v>3</v>
      </c>
      <c r="AF867">
        <v>8</v>
      </c>
      <c r="AG867">
        <v>7</v>
      </c>
      <c r="AH867">
        <v>7</v>
      </c>
      <c r="AI867">
        <v>7</v>
      </c>
    </row>
    <row r="868" spans="1:35" x14ac:dyDescent="0.35">
      <c r="A868">
        <v>49</v>
      </c>
      <c r="B868" t="s">
        <v>35</v>
      </c>
      <c r="C868" t="s">
        <v>44</v>
      </c>
      <c r="D868">
        <v>1475</v>
      </c>
      <c r="E868" t="s">
        <v>45</v>
      </c>
      <c r="F868">
        <v>28</v>
      </c>
      <c r="G868">
        <v>2</v>
      </c>
      <c r="H868" t="s">
        <v>38</v>
      </c>
      <c r="I868">
        <v>1</v>
      </c>
      <c r="J868">
        <v>1420</v>
      </c>
      <c r="K868">
        <v>1</v>
      </c>
      <c r="L868" t="s">
        <v>46</v>
      </c>
      <c r="M868">
        <v>97</v>
      </c>
      <c r="N868">
        <v>2</v>
      </c>
      <c r="O868">
        <v>2</v>
      </c>
      <c r="P868" t="s">
        <v>50</v>
      </c>
      <c r="Q868">
        <v>1</v>
      </c>
      <c r="R868" t="s">
        <v>41</v>
      </c>
      <c r="S868">
        <v>4284</v>
      </c>
      <c r="T868">
        <v>22710</v>
      </c>
      <c r="U868">
        <v>3</v>
      </c>
      <c r="V868" t="s">
        <v>42</v>
      </c>
      <c r="W868" t="s">
        <v>43</v>
      </c>
      <c r="X868">
        <v>20</v>
      </c>
      <c r="Y868">
        <v>4</v>
      </c>
      <c r="Z868">
        <v>1</v>
      </c>
      <c r="AA868">
        <v>80</v>
      </c>
      <c r="AB868">
        <v>0</v>
      </c>
      <c r="AC868">
        <v>20</v>
      </c>
      <c r="AD868">
        <v>2</v>
      </c>
      <c r="AE868">
        <v>3</v>
      </c>
      <c r="AF868">
        <v>4</v>
      </c>
      <c r="AG868">
        <v>3</v>
      </c>
      <c r="AH868">
        <v>1</v>
      </c>
      <c r="AI868">
        <v>3</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26</v>
      </c>
      <c r="B872" t="s">
        <v>43</v>
      </c>
      <c r="C872" t="s">
        <v>36</v>
      </c>
      <c r="D872">
        <v>652</v>
      </c>
      <c r="E872" t="s">
        <v>45</v>
      </c>
      <c r="F872">
        <v>7</v>
      </c>
      <c r="G872">
        <v>3</v>
      </c>
      <c r="H872" t="s">
        <v>49</v>
      </c>
      <c r="I872">
        <v>1</v>
      </c>
      <c r="J872">
        <v>1417</v>
      </c>
      <c r="K872">
        <v>3</v>
      </c>
      <c r="L872" t="s">
        <v>46</v>
      </c>
      <c r="M872">
        <v>100</v>
      </c>
      <c r="N872">
        <v>4</v>
      </c>
      <c r="O872">
        <v>1</v>
      </c>
      <c r="P872" t="s">
        <v>50</v>
      </c>
      <c r="Q872">
        <v>1</v>
      </c>
      <c r="R872" t="s">
        <v>41</v>
      </c>
      <c r="S872">
        <v>3578</v>
      </c>
      <c r="T872">
        <v>23577</v>
      </c>
      <c r="U872">
        <v>0</v>
      </c>
      <c r="V872" t="s">
        <v>42</v>
      </c>
      <c r="W872" t="s">
        <v>43</v>
      </c>
      <c r="X872">
        <v>12</v>
      </c>
      <c r="Y872">
        <v>3</v>
      </c>
      <c r="Z872">
        <v>4</v>
      </c>
      <c r="AA872">
        <v>80</v>
      </c>
      <c r="AB872">
        <v>0</v>
      </c>
      <c r="AC872">
        <v>8</v>
      </c>
      <c r="AD872">
        <v>2</v>
      </c>
      <c r="AE872">
        <v>3</v>
      </c>
      <c r="AF872">
        <v>7</v>
      </c>
      <c r="AG872">
        <v>7</v>
      </c>
      <c r="AH872">
        <v>0</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25</v>
      </c>
      <c r="B874" t="s">
        <v>43</v>
      </c>
      <c r="C874" t="s">
        <v>36</v>
      </c>
      <c r="D874">
        <v>949</v>
      </c>
      <c r="E874" t="s">
        <v>45</v>
      </c>
      <c r="F874">
        <v>1</v>
      </c>
      <c r="G874">
        <v>3</v>
      </c>
      <c r="H874" t="s">
        <v>60</v>
      </c>
      <c r="I874">
        <v>1</v>
      </c>
      <c r="J874">
        <v>1415</v>
      </c>
      <c r="K874">
        <v>1</v>
      </c>
      <c r="L874" t="s">
        <v>46</v>
      </c>
      <c r="M874">
        <v>81</v>
      </c>
      <c r="N874">
        <v>3</v>
      </c>
      <c r="O874">
        <v>1</v>
      </c>
      <c r="P874" t="s">
        <v>50</v>
      </c>
      <c r="Q874">
        <v>4</v>
      </c>
      <c r="R874" t="s">
        <v>48</v>
      </c>
      <c r="S874">
        <v>3229</v>
      </c>
      <c r="T874">
        <v>4910</v>
      </c>
      <c r="U874">
        <v>4</v>
      </c>
      <c r="V874" t="s">
        <v>42</v>
      </c>
      <c r="W874" t="s">
        <v>43</v>
      </c>
      <c r="X874">
        <v>11</v>
      </c>
      <c r="Y874">
        <v>3</v>
      </c>
      <c r="Z874">
        <v>2</v>
      </c>
      <c r="AA874">
        <v>80</v>
      </c>
      <c r="AB874">
        <v>1</v>
      </c>
      <c r="AC874">
        <v>7</v>
      </c>
      <c r="AD874">
        <v>2</v>
      </c>
      <c r="AE874">
        <v>2</v>
      </c>
      <c r="AF874">
        <v>3</v>
      </c>
      <c r="AG874">
        <v>2</v>
      </c>
      <c r="AH874">
        <v>0</v>
      </c>
      <c r="AI874">
        <v>2</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35</v>
      </c>
      <c r="B878" t="s">
        <v>43</v>
      </c>
      <c r="C878" t="s">
        <v>44</v>
      </c>
      <c r="D878">
        <v>200</v>
      </c>
      <c r="E878" t="s">
        <v>45</v>
      </c>
      <c r="F878">
        <v>18</v>
      </c>
      <c r="G878">
        <v>2</v>
      </c>
      <c r="H878" t="s">
        <v>38</v>
      </c>
      <c r="I878">
        <v>1</v>
      </c>
      <c r="J878">
        <v>1412</v>
      </c>
      <c r="K878">
        <v>3</v>
      </c>
      <c r="L878" t="s">
        <v>46</v>
      </c>
      <c r="M878">
        <v>60</v>
      </c>
      <c r="N878">
        <v>3</v>
      </c>
      <c r="O878">
        <v>3</v>
      </c>
      <c r="P878" t="s">
        <v>53</v>
      </c>
      <c r="Q878">
        <v>4</v>
      </c>
      <c r="R878" t="s">
        <v>41</v>
      </c>
      <c r="S878">
        <v>9362</v>
      </c>
      <c r="T878">
        <v>19944</v>
      </c>
      <c r="U878">
        <v>2</v>
      </c>
      <c r="V878" t="s">
        <v>42</v>
      </c>
      <c r="W878" t="s">
        <v>43</v>
      </c>
      <c r="X878">
        <v>11</v>
      </c>
      <c r="Y878">
        <v>3</v>
      </c>
      <c r="Z878">
        <v>3</v>
      </c>
      <c r="AA878">
        <v>80</v>
      </c>
      <c r="AB878">
        <v>0</v>
      </c>
      <c r="AC878">
        <v>10</v>
      </c>
      <c r="AD878">
        <v>2</v>
      </c>
      <c r="AE878">
        <v>3</v>
      </c>
      <c r="AF878">
        <v>2</v>
      </c>
      <c r="AG878">
        <v>2</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37</v>
      </c>
      <c r="B880" t="s">
        <v>43</v>
      </c>
      <c r="C880" t="s">
        <v>36</v>
      </c>
      <c r="D880">
        <v>1462</v>
      </c>
      <c r="E880" t="s">
        <v>45</v>
      </c>
      <c r="F880">
        <v>11</v>
      </c>
      <c r="G880">
        <v>3</v>
      </c>
      <c r="H880" t="s">
        <v>51</v>
      </c>
      <c r="I880">
        <v>1</v>
      </c>
      <c r="J880">
        <v>1411</v>
      </c>
      <c r="K880">
        <v>1</v>
      </c>
      <c r="L880" t="s">
        <v>39</v>
      </c>
      <c r="M880">
        <v>94</v>
      </c>
      <c r="N880">
        <v>3</v>
      </c>
      <c r="O880">
        <v>1</v>
      </c>
      <c r="P880" t="s">
        <v>50</v>
      </c>
      <c r="Q880">
        <v>3</v>
      </c>
      <c r="R880" t="s">
        <v>41</v>
      </c>
      <c r="S880">
        <v>3629</v>
      </c>
      <c r="T880">
        <v>19106</v>
      </c>
      <c r="U880">
        <v>4</v>
      </c>
      <c r="V880" t="s">
        <v>42</v>
      </c>
      <c r="W880" t="s">
        <v>43</v>
      </c>
      <c r="X880">
        <v>18</v>
      </c>
      <c r="Y880">
        <v>3</v>
      </c>
      <c r="Z880">
        <v>1</v>
      </c>
      <c r="AA880">
        <v>80</v>
      </c>
      <c r="AB880">
        <v>0</v>
      </c>
      <c r="AC880">
        <v>8</v>
      </c>
      <c r="AD880">
        <v>6</v>
      </c>
      <c r="AE880">
        <v>3</v>
      </c>
      <c r="AF880">
        <v>3</v>
      </c>
      <c r="AG880">
        <v>2</v>
      </c>
      <c r="AH880">
        <v>0</v>
      </c>
      <c r="AI880">
        <v>2</v>
      </c>
    </row>
    <row r="881" spans="1:35" x14ac:dyDescent="0.35">
      <c r="A881">
        <v>52</v>
      </c>
      <c r="B881" t="s">
        <v>43</v>
      </c>
      <c r="C881" t="s">
        <v>36</v>
      </c>
      <c r="D881">
        <v>258</v>
      </c>
      <c r="E881" t="s">
        <v>45</v>
      </c>
      <c r="F881">
        <v>8</v>
      </c>
      <c r="G881">
        <v>4</v>
      </c>
      <c r="H881" t="s">
        <v>49</v>
      </c>
      <c r="I881">
        <v>1</v>
      </c>
      <c r="J881">
        <v>1409</v>
      </c>
      <c r="K881">
        <v>3</v>
      </c>
      <c r="L881" t="s">
        <v>39</v>
      </c>
      <c r="M881">
        <v>54</v>
      </c>
      <c r="N881">
        <v>3</v>
      </c>
      <c r="O881">
        <v>1</v>
      </c>
      <c r="P881" t="s">
        <v>50</v>
      </c>
      <c r="Q881">
        <v>1</v>
      </c>
      <c r="R881" t="s">
        <v>48</v>
      </c>
      <c r="S881">
        <v>2950</v>
      </c>
      <c r="T881">
        <v>17363</v>
      </c>
      <c r="U881">
        <v>9</v>
      </c>
      <c r="V881" t="s">
        <v>42</v>
      </c>
      <c r="W881" t="s">
        <v>43</v>
      </c>
      <c r="X881">
        <v>13</v>
      </c>
      <c r="Y881">
        <v>3</v>
      </c>
      <c r="Z881">
        <v>3</v>
      </c>
      <c r="AA881">
        <v>80</v>
      </c>
      <c r="AB881">
        <v>0</v>
      </c>
      <c r="AC881">
        <v>12</v>
      </c>
      <c r="AD881">
        <v>2</v>
      </c>
      <c r="AE881">
        <v>1</v>
      </c>
      <c r="AF881">
        <v>5</v>
      </c>
      <c r="AG881">
        <v>4</v>
      </c>
      <c r="AH881">
        <v>0</v>
      </c>
      <c r="AI881">
        <v>4</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26</v>
      </c>
      <c r="B886" t="s">
        <v>43</v>
      </c>
      <c r="C886" t="s">
        <v>36</v>
      </c>
      <c r="D886">
        <v>683</v>
      </c>
      <c r="E886" t="s">
        <v>45</v>
      </c>
      <c r="F886">
        <v>2</v>
      </c>
      <c r="G886">
        <v>1</v>
      </c>
      <c r="H886" t="s">
        <v>51</v>
      </c>
      <c r="I886">
        <v>1</v>
      </c>
      <c r="J886">
        <v>1407</v>
      </c>
      <c r="K886">
        <v>1</v>
      </c>
      <c r="L886" t="s">
        <v>46</v>
      </c>
      <c r="M886">
        <v>36</v>
      </c>
      <c r="N886">
        <v>2</v>
      </c>
      <c r="O886">
        <v>1</v>
      </c>
      <c r="P886" t="s">
        <v>47</v>
      </c>
      <c r="Q886">
        <v>4</v>
      </c>
      <c r="R886" t="s">
        <v>41</v>
      </c>
      <c r="S886">
        <v>3904</v>
      </c>
      <c r="T886">
        <v>4050</v>
      </c>
      <c r="U886">
        <v>0</v>
      </c>
      <c r="V886" t="s">
        <v>42</v>
      </c>
      <c r="W886" t="s">
        <v>43</v>
      </c>
      <c r="X886">
        <v>12</v>
      </c>
      <c r="Y886">
        <v>3</v>
      </c>
      <c r="Z886">
        <v>4</v>
      </c>
      <c r="AA886">
        <v>80</v>
      </c>
      <c r="AB886">
        <v>0</v>
      </c>
      <c r="AC886">
        <v>5</v>
      </c>
      <c r="AD886">
        <v>2</v>
      </c>
      <c r="AE886">
        <v>3</v>
      </c>
      <c r="AF886">
        <v>4</v>
      </c>
      <c r="AG886">
        <v>3</v>
      </c>
      <c r="AH886">
        <v>1</v>
      </c>
      <c r="AI886">
        <v>1</v>
      </c>
    </row>
    <row r="887" spans="1:35" x14ac:dyDescent="0.35">
      <c r="A887">
        <v>27</v>
      </c>
      <c r="B887" t="s">
        <v>35</v>
      </c>
      <c r="C887" t="s">
        <v>36</v>
      </c>
      <c r="D887">
        <v>135</v>
      </c>
      <c r="E887" t="s">
        <v>45</v>
      </c>
      <c r="F887">
        <v>17</v>
      </c>
      <c r="G887">
        <v>4</v>
      </c>
      <c r="H887" t="s">
        <v>38</v>
      </c>
      <c r="I887">
        <v>1</v>
      </c>
      <c r="J887">
        <v>1405</v>
      </c>
      <c r="K887">
        <v>4</v>
      </c>
      <c r="L887" t="s">
        <v>39</v>
      </c>
      <c r="M887">
        <v>51</v>
      </c>
      <c r="N887">
        <v>3</v>
      </c>
      <c r="O887">
        <v>1</v>
      </c>
      <c r="P887" t="s">
        <v>47</v>
      </c>
      <c r="Q887">
        <v>3</v>
      </c>
      <c r="R887" t="s">
        <v>41</v>
      </c>
      <c r="S887">
        <v>2394</v>
      </c>
      <c r="T887">
        <v>25681</v>
      </c>
      <c r="U887">
        <v>1</v>
      </c>
      <c r="V887" t="s">
        <v>42</v>
      </c>
      <c r="W887" t="s">
        <v>35</v>
      </c>
      <c r="X887">
        <v>13</v>
      </c>
      <c r="Y887">
        <v>3</v>
      </c>
      <c r="Z887">
        <v>4</v>
      </c>
      <c r="AA887">
        <v>80</v>
      </c>
      <c r="AB887">
        <v>0</v>
      </c>
      <c r="AC887">
        <v>8</v>
      </c>
      <c r="AD887">
        <v>2</v>
      </c>
      <c r="AE887">
        <v>3</v>
      </c>
      <c r="AF887">
        <v>8</v>
      </c>
      <c r="AG887">
        <v>2</v>
      </c>
      <c r="AH887">
        <v>7</v>
      </c>
      <c r="AI887">
        <v>7</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43</v>
      </c>
      <c r="B890" t="s">
        <v>43</v>
      </c>
      <c r="C890" t="s">
        <v>36</v>
      </c>
      <c r="D890">
        <v>930</v>
      </c>
      <c r="E890" t="s">
        <v>45</v>
      </c>
      <c r="F890">
        <v>6</v>
      </c>
      <c r="G890">
        <v>3</v>
      </c>
      <c r="H890" t="s">
        <v>51</v>
      </c>
      <c r="I890">
        <v>1</v>
      </c>
      <c r="J890">
        <v>1402</v>
      </c>
      <c r="K890">
        <v>1</v>
      </c>
      <c r="L890" t="s">
        <v>39</v>
      </c>
      <c r="M890">
        <v>73</v>
      </c>
      <c r="N890">
        <v>2</v>
      </c>
      <c r="O890">
        <v>2</v>
      </c>
      <c r="P890" t="s">
        <v>47</v>
      </c>
      <c r="Q890">
        <v>3</v>
      </c>
      <c r="R890" t="s">
        <v>41</v>
      </c>
      <c r="S890">
        <v>4081</v>
      </c>
      <c r="T890">
        <v>20003</v>
      </c>
      <c r="U890">
        <v>1</v>
      </c>
      <c r="V890" t="s">
        <v>42</v>
      </c>
      <c r="W890" t="s">
        <v>35</v>
      </c>
      <c r="X890">
        <v>14</v>
      </c>
      <c r="Y890">
        <v>3</v>
      </c>
      <c r="Z890">
        <v>1</v>
      </c>
      <c r="AA890">
        <v>80</v>
      </c>
      <c r="AB890">
        <v>0</v>
      </c>
      <c r="AC890">
        <v>20</v>
      </c>
      <c r="AD890">
        <v>3</v>
      </c>
      <c r="AE890">
        <v>1</v>
      </c>
      <c r="AF890">
        <v>20</v>
      </c>
      <c r="AG890">
        <v>7</v>
      </c>
      <c r="AH890">
        <v>1</v>
      </c>
      <c r="AI890">
        <v>8</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52</v>
      </c>
      <c r="B899" t="s">
        <v>43</v>
      </c>
      <c r="C899" t="s">
        <v>44</v>
      </c>
      <c r="D899">
        <v>322</v>
      </c>
      <c r="E899" t="s">
        <v>45</v>
      </c>
      <c r="F899">
        <v>28</v>
      </c>
      <c r="G899">
        <v>2</v>
      </c>
      <c r="H899" t="s">
        <v>51</v>
      </c>
      <c r="I899">
        <v>1</v>
      </c>
      <c r="J899">
        <v>1401</v>
      </c>
      <c r="K899">
        <v>4</v>
      </c>
      <c r="L899" t="s">
        <v>39</v>
      </c>
      <c r="M899">
        <v>59</v>
      </c>
      <c r="N899">
        <v>4</v>
      </c>
      <c r="O899">
        <v>4</v>
      </c>
      <c r="P899" t="s">
        <v>53</v>
      </c>
      <c r="Q899">
        <v>3</v>
      </c>
      <c r="R899" t="s">
        <v>48</v>
      </c>
      <c r="S899">
        <v>13247</v>
      </c>
      <c r="T899">
        <v>9731</v>
      </c>
      <c r="U899">
        <v>2</v>
      </c>
      <c r="V899" t="s">
        <v>42</v>
      </c>
      <c r="W899" t="s">
        <v>35</v>
      </c>
      <c r="X899">
        <v>11</v>
      </c>
      <c r="Y899">
        <v>3</v>
      </c>
      <c r="Z899">
        <v>2</v>
      </c>
      <c r="AA899">
        <v>80</v>
      </c>
      <c r="AB899">
        <v>1</v>
      </c>
      <c r="AC899">
        <v>24</v>
      </c>
      <c r="AD899">
        <v>3</v>
      </c>
      <c r="AE899">
        <v>2</v>
      </c>
      <c r="AF899">
        <v>5</v>
      </c>
      <c r="AG899">
        <v>3</v>
      </c>
      <c r="AH899">
        <v>0</v>
      </c>
      <c r="AI899">
        <v>2</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39</v>
      </c>
      <c r="B909" t="s">
        <v>43</v>
      </c>
      <c r="C909" t="s">
        <v>55</v>
      </c>
      <c r="D909">
        <v>1485</v>
      </c>
      <c r="E909" t="s">
        <v>45</v>
      </c>
      <c r="F909">
        <v>25</v>
      </c>
      <c r="G909">
        <v>2</v>
      </c>
      <c r="H909" t="s">
        <v>38</v>
      </c>
      <c r="I909">
        <v>1</v>
      </c>
      <c r="J909">
        <v>1397</v>
      </c>
      <c r="K909">
        <v>3</v>
      </c>
      <c r="L909" t="s">
        <v>46</v>
      </c>
      <c r="M909">
        <v>71</v>
      </c>
      <c r="N909">
        <v>3</v>
      </c>
      <c r="O909">
        <v>3</v>
      </c>
      <c r="P909" t="s">
        <v>54</v>
      </c>
      <c r="Q909">
        <v>3</v>
      </c>
      <c r="R909" t="s">
        <v>48</v>
      </c>
      <c r="S909">
        <v>10920</v>
      </c>
      <c r="T909">
        <v>3449</v>
      </c>
      <c r="U909">
        <v>3</v>
      </c>
      <c r="V909" t="s">
        <v>42</v>
      </c>
      <c r="W909" t="s">
        <v>43</v>
      </c>
      <c r="X909">
        <v>21</v>
      </c>
      <c r="Y909">
        <v>4</v>
      </c>
      <c r="Z909">
        <v>2</v>
      </c>
      <c r="AA909">
        <v>80</v>
      </c>
      <c r="AB909">
        <v>1</v>
      </c>
      <c r="AC909">
        <v>13</v>
      </c>
      <c r="AD909">
        <v>2</v>
      </c>
      <c r="AE909">
        <v>3</v>
      </c>
      <c r="AF909">
        <v>6</v>
      </c>
      <c r="AG909">
        <v>4</v>
      </c>
      <c r="AH909">
        <v>0</v>
      </c>
      <c r="AI909">
        <v>5</v>
      </c>
    </row>
    <row r="910" spans="1:35" x14ac:dyDescent="0.35">
      <c r="A910">
        <v>37</v>
      </c>
      <c r="B910" t="s">
        <v>43</v>
      </c>
      <c r="C910" t="s">
        <v>36</v>
      </c>
      <c r="D910">
        <v>1439</v>
      </c>
      <c r="E910" t="s">
        <v>45</v>
      </c>
      <c r="F910">
        <v>4</v>
      </c>
      <c r="G910">
        <v>1</v>
      </c>
      <c r="H910" t="s">
        <v>38</v>
      </c>
      <c r="I910">
        <v>1</v>
      </c>
      <c r="J910">
        <v>1394</v>
      </c>
      <c r="K910">
        <v>3</v>
      </c>
      <c r="L910" t="s">
        <v>46</v>
      </c>
      <c r="M910">
        <v>54</v>
      </c>
      <c r="N910">
        <v>3</v>
      </c>
      <c r="O910">
        <v>1</v>
      </c>
      <c r="P910" t="s">
        <v>47</v>
      </c>
      <c r="Q910">
        <v>3</v>
      </c>
      <c r="R910" t="s">
        <v>48</v>
      </c>
      <c r="S910">
        <v>2996</v>
      </c>
      <c r="T910">
        <v>5182</v>
      </c>
      <c r="U910">
        <v>7</v>
      </c>
      <c r="V910" t="s">
        <v>42</v>
      </c>
      <c r="W910" t="s">
        <v>35</v>
      </c>
      <c r="X910">
        <v>15</v>
      </c>
      <c r="Y910">
        <v>3</v>
      </c>
      <c r="Z910">
        <v>4</v>
      </c>
      <c r="AA910">
        <v>80</v>
      </c>
      <c r="AB910">
        <v>0</v>
      </c>
      <c r="AC910">
        <v>8</v>
      </c>
      <c r="AD910">
        <v>2</v>
      </c>
      <c r="AE910">
        <v>3</v>
      </c>
      <c r="AF910">
        <v>6</v>
      </c>
      <c r="AG910">
        <v>4</v>
      </c>
      <c r="AH910">
        <v>1</v>
      </c>
      <c r="AI910">
        <v>3</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41</v>
      </c>
      <c r="B913" t="s">
        <v>43</v>
      </c>
      <c r="C913" t="s">
        <v>44</v>
      </c>
      <c r="D913">
        <v>1200</v>
      </c>
      <c r="E913" t="s">
        <v>45</v>
      </c>
      <c r="F913">
        <v>22</v>
      </c>
      <c r="G913">
        <v>3</v>
      </c>
      <c r="H913" t="s">
        <v>38</v>
      </c>
      <c r="I913">
        <v>1</v>
      </c>
      <c r="J913">
        <v>1392</v>
      </c>
      <c r="K913">
        <v>4</v>
      </c>
      <c r="L913" t="s">
        <v>39</v>
      </c>
      <c r="M913">
        <v>75</v>
      </c>
      <c r="N913">
        <v>3</v>
      </c>
      <c r="O913">
        <v>2</v>
      </c>
      <c r="P913" t="s">
        <v>47</v>
      </c>
      <c r="Q913">
        <v>4</v>
      </c>
      <c r="R913" t="s">
        <v>52</v>
      </c>
      <c r="S913">
        <v>5467</v>
      </c>
      <c r="T913">
        <v>13953</v>
      </c>
      <c r="U913">
        <v>3</v>
      </c>
      <c r="V913" t="s">
        <v>42</v>
      </c>
      <c r="W913" t="s">
        <v>35</v>
      </c>
      <c r="X913">
        <v>14</v>
      </c>
      <c r="Y913">
        <v>3</v>
      </c>
      <c r="Z913">
        <v>1</v>
      </c>
      <c r="AA913">
        <v>80</v>
      </c>
      <c r="AB913">
        <v>2</v>
      </c>
      <c r="AC913">
        <v>12</v>
      </c>
      <c r="AD913">
        <v>4</v>
      </c>
      <c r="AE913">
        <v>2</v>
      </c>
      <c r="AF913">
        <v>6</v>
      </c>
      <c r="AG913">
        <v>2</v>
      </c>
      <c r="AH913">
        <v>3</v>
      </c>
      <c r="AI913">
        <v>3</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31</v>
      </c>
      <c r="B915" t="s">
        <v>35</v>
      </c>
      <c r="C915" t="s">
        <v>36</v>
      </c>
      <c r="D915">
        <v>330</v>
      </c>
      <c r="E915" t="s">
        <v>45</v>
      </c>
      <c r="F915">
        <v>22</v>
      </c>
      <c r="G915">
        <v>4</v>
      </c>
      <c r="H915" t="s">
        <v>51</v>
      </c>
      <c r="I915">
        <v>1</v>
      </c>
      <c r="J915">
        <v>1389</v>
      </c>
      <c r="K915">
        <v>4</v>
      </c>
      <c r="L915" t="s">
        <v>46</v>
      </c>
      <c r="M915">
        <v>98</v>
      </c>
      <c r="N915">
        <v>3</v>
      </c>
      <c r="O915">
        <v>2</v>
      </c>
      <c r="P915" t="s">
        <v>53</v>
      </c>
      <c r="Q915">
        <v>3</v>
      </c>
      <c r="R915" t="s">
        <v>48</v>
      </c>
      <c r="S915">
        <v>6179</v>
      </c>
      <c r="T915">
        <v>21057</v>
      </c>
      <c r="U915">
        <v>1</v>
      </c>
      <c r="V915" t="s">
        <v>42</v>
      </c>
      <c r="W915" t="s">
        <v>35</v>
      </c>
      <c r="X915">
        <v>15</v>
      </c>
      <c r="Y915">
        <v>3</v>
      </c>
      <c r="Z915">
        <v>4</v>
      </c>
      <c r="AA915">
        <v>80</v>
      </c>
      <c r="AB915">
        <v>2</v>
      </c>
      <c r="AC915">
        <v>10</v>
      </c>
      <c r="AD915">
        <v>3</v>
      </c>
      <c r="AE915">
        <v>2</v>
      </c>
      <c r="AF915">
        <v>10</v>
      </c>
      <c r="AG915">
        <v>2</v>
      </c>
      <c r="AH915">
        <v>6</v>
      </c>
      <c r="AI915">
        <v>7</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34</v>
      </c>
      <c r="B918" t="s">
        <v>43</v>
      </c>
      <c r="C918" t="s">
        <v>36</v>
      </c>
      <c r="D918">
        <v>404</v>
      </c>
      <c r="E918" t="s">
        <v>45</v>
      </c>
      <c r="F918">
        <v>2</v>
      </c>
      <c r="G918">
        <v>4</v>
      </c>
      <c r="H918" t="s">
        <v>60</v>
      </c>
      <c r="I918">
        <v>1</v>
      </c>
      <c r="J918">
        <v>1383</v>
      </c>
      <c r="K918">
        <v>3</v>
      </c>
      <c r="L918" t="s">
        <v>39</v>
      </c>
      <c r="M918">
        <v>98</v>
      </c>
      <c r="N918">
        <v>3</v>
      </c>
      <c r="O918">
        <v>2</v>
      </c>
      <c r="P918" t="s">
        <v>54</v>
      </c>
      <c r="Q918">
        <v>4</v>
      </c>
      <c r="R918" t="s">
        <v>41</v>
      </c>
      <c r="S918">
        <v>6687</v>
      </c>
      <c r="T918">
        <v>6163</v>
      </c>
      <c r="U918">
        <v>1</v>
      </c>
      <c r="V918" t="s">
        <v>42</v>
      </c>
      <c r="W918" t="s">
        <v>43</v>
      </c>
      <c r="X918">
        <v>11</v>
      </c>
      <c r="Y918">
        <v>3</v>
      </c>
      <c r="Z918">
        <v>4</v>
      </c>
      <c r="AA918">
        <v>80</v>
      </c>
      <c r="AB918">
        <v>0</v>
      </c>
      <c r="AC918">
        <v>14</v>
      </c>
      <c r="AD918">
        <v>2</v>
      </c>
      <c r="AE918">
        <v>4</v>
      </c>
      <c r="AF918">
        <v>14</v>
      </c>
      <c r="AG918">
        <v>11</v>
      </c>
      <c r="AH918">
        <v>4</v>
      </c>
      <c r="AI918">
        <v>11</v>
      </c>
    </row>
    <row r="919" spans="1:35" x14ac:dyDescent="0.35">
      <c r="A919">
        <v>38</v>
      </c>
      <c r="B919" t="s">
        <v>43</v>
      </c>
      <c r="C919" t="s">
        <v>44</v>
      </c>
      <c r="D919">
        <v>693</v>
      </c>
      <c r="E919" t="s">
        <v>45</v>
      </c>
      <c r="F919">
        <v>7</v>
      </c>
      <c r="G919">
        <v>3</v>
      </c>
      <c r="H919" t="s">
        <v>38</v>
      </c>
      <c r="I919">
        <v>1</v>
      </c>
      <c r="J919">
        <v>1382</v>
      </c>
      <c r="K919">
        <v>4</v>
      </c>
      <c r="L919" t="s">
        <v>46</v>
      </c>
      <c r="M919">
        <v>57</v>
      </c>
      <c r="N919">
        <v>4</v>
      </c>
      <c r="O919">
        <v>1</v>
      </c>
      <c r="P919" t="s">
        <v>47</v>
      </c>
      <c r="Q919">
        <v>3</v>
      </c>
      <c r="R919" t="s">
        <v>52</v>
      </c>
      <c r="S919">
        <v>2610</v>
      </c>
      <c r="T919">
        <v>15748</v>
      </c>
      <c r="U919">
        <v>1</v>
      </c>
      <c r="V919" t="s">
        <v>42</v>
      </c>
      <c r="W919" t="s">
        <v>43</v>
      </c>
      <c r="X919">
        <v>11</v>
      </c>
      <c r="Y919">
        <v>3</v>
      </c>
      <c r="Z919">
        <v>4</v>
      </c>
      <c r="AA919">
        <v>80</v>
      </c>
      <c r="AB919">
        <v>3</v>
      </c>
      <c r="AC919">
        <v>4</v>
      </c>
      <c r="AD919">
        <v>2</v>
      </c>
      <c r="AE919">
        <v>3</v>
      </c>
      <c r="AF919">
        <v>4</v>
      </c>
      <c r="AG919">
        <v>2</v>
      </c>
      <c r="AH919">
        <v>0</v>
      </c>
      <c r="AI919">
        <v>3</v>
      </c>
    </row>
    <row r="920" spans="1:35" x14ac:dyDescent="0.35">
      <c r="A920">
        <v>34</v>
      </c>
      <c r="B920" t="s">
        <v>43</v>
      </c>
      <c r="C920" t="s">
        <v>36</v>
      </c>
      <c r="D920">
        <v>285</v>
      </c>
      <c r="E920" t="s">
        <v>45</v>
      </c>
      <c r="F920">
        <v>29</v>
      </c>
      <c r="G920">
        <v>3</v>
      </c>
      <c r="H920" t="s">
        <v>51</v>
      </c>
      <c r="I920">
        <v>1</v>
      </c>
      <c r="J920">
        <v>1377</v>
      </c>
      <c r="K920">
        <v>2</v>
      </c>
      <c r="L920" t="s">
        <v>46</v>
      </c>
      <c r="M920">
        <v>86</v>
      </c>
      <c r="N920">
        <v>3</v>
      </c>
      <c r="O920">
        <v>2</v>
      </c>
      <c r="P920" t="s">
        <v>50</v>
      </c>
      <c r="Q920">
        <v>3</v>
      </c>
      <c r="R920" t="s">
        <v>48</v>
      </c>
      <c r="S920">
        <v>5429</v>
      </c>
      <c r="T920">
        <v>17491</v>
      </c>
      <c r="U920">
        <v>4</v>
      </c>
      <c r="V920" t="s">
        <v>42</v>
      </c>
      <c r="W920" t="s">
        <v>43</v>
      </c>
      <c r="X920">
        <v>13</v>
      </c>
      <c r="Y920">
        <v>3</v>
      </c>
      <c r="Z920">
        <v>1</v>
      </c>
      <c r="AA920">
        <v>80</v>
      </c>
      <c r="AB920">
        <v>2</v>
      </c>
      <c r="AC920">
        <v>10</v>
      </c>
      <c r="AD920">
        <v>1</v>
      </c>
      <c r="AE920">
        <v>3</v>
      </c>
      <c r="AF920">
        <v>8</v>
      </c>
      <c r="AG920">
        <v>7</v>
      </c>
      <c r="AH920">
        <v>7</v>
      </c>
      <c r="AI920">
        <v>7</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40</v>
      </c>
      <c r="B925" t="s">
        <v>43</v>
      </c>
      <c r="C925" t="s">
        <v>36</v>
      </c>
      <c r="D925">
        <v>1202</v>
      </c>
      <c r="E925" t="s">
        <v>45</v>
      </c>
      <c r="F925">
        <v>2</v>
      </c>
      <c r="G925">
        <v>1</v>
      </c>
      <c r="H925" t="s">
        <v>51</v>
      </c>
      <c r="I925">
        <v>1</v>
      </c>
      <c r="J925">
        <v>1375</v>
      </c>
      <c r="K925">
        <v>2</v>
      </c>
      <c r="L925" t="s">
        <v>39</v>
      </c>
      <c r="M925">
        <v>89</v>
      </c>
      <c r="N925">
        <v>4</v>
      </c>
      <c r="O925">
        <v>2</v>
      </c>
      <c r="P925" t="s">
        <v>54</v>
      </c>
      <c r="Q925">
        <v>3</v>
      </c>
      <c r="R925" t="s">
        <v>52</v>
      </c>
      <c r="S925">
        <v>6377</v>
      </c>
      <c r="T925">
        <v>13888</v>
      </c>
      <c r="U925">
        <v>5</v>
      </c>
      <c r="V925" t="s">
        <v>42</v>
      </c>
      <c r="W925" t="s">
        <v>43</v>
      </c>
      <c r="X925">
        <v>20</v>
      </c>
      <c r="Y925">
        <v>4</v>
      </c>
      <c r="Z925">
        <v>2</v>
      </c>
      <c r="AA925">
        <v>80</v>
      </c>
      <c r="AB925">
        <v>3</v>
      </c>
      <c r="AC925">
        <v>15</v>
      </c>
      <c r="AD925">
        <v>0</v>
      </c>
      <c r="AE925">
        <v>3</v>
      </c>
      <c r="AF925">
        <v>12</v>
      </c>
      <c r="AG925">
        <v>11</v>
      </c>
      <c r="AH925">
        <v>11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34</v>
      </c>
      <c r="B928" t="s">
        <v>43</v>
      </c>
      <c r="C928" t="s">
        <v>55</v>
      </c>
      <c r="D928">
        <v>999</v>
      </c>
      <c r="E928" t="s">
        <v>45</v>
      </c>
      <c r="F928">
        <v>26</v>
      </c>
      <c r="G928">
        <v>1</v>
      </c>
      <c r="H928" t="s">
        <v>60</v>
      </c>
      <c r="I928">
        <v>1</v>
      </c>
      <c r="J928">
        <v>1374</v>
      </c>
      <c r="K928">
        <v>1</v>
      </c>
      <c r="L928" t="s">
        <v>39</v>
      </c>
      <c r="M928">
        <v>92</v>
      </c>
      <c r="N928">
        <v>2</v>
      </c>
      <c r="O928">
        <v>1</v>
      </c>
      <c r="P928" t="s">
        <v>47</v>
      </c>
      <c r="Q928">
        <v>3</v>
      </c>
      <c r="R928" t="s">
        <v>52</v>
      </c>
      <c r="S928">
        <v>2029</v>
      </c>
      <c r="T928">
        <v>15891</v>
      </c>
      <c r="U928">
        <v>1</v>
      </c>
      <c r="V928" t="s">
        <v>42</v>
      </c>
      <c r="W928" t="s">
        <v>43</v>
      </c>
      <c r="X928">
        <v>20</v>
      </c>
      <c r="Y928">
        <v>4</v>
      </c>
      <c r="Z928">
        <v>3</v>
      </c>
      <c r="AA928">
        <v>80</v>
      </c>
      <c r="AB928">
        <v>3</v>
      </c>
      <c r="AC928">
        <v>5</v>
      </c>
      <c r="AD928">
        <v>2</v>
      </c>
      <c r="AE928">
        <v>3</v>
      </c>
      <c r="AF928">
        <v>5</v>
      </c>
      <c r="AG928">
        <v>4</v>
      </c>
      <c r="AH928">
        <v>0</v>
      </c>
      <c r="AI928">
        <v>0</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56</v>
      </c>
      <c r="B937" t="s">
        <v>43</v>
      </c>
      <c r="C937" t="s">
        <v>36</v>
      </c>
      <c r="D937">
        <v>1369</v>
      </c>
      <c r="E937" t="s">
        <v>45</v>
      </c>
      <c r="F937">
        <v>23</v>
      </c>
      <c r="G937">
        <v>3</v>
      </c>
      <c r="H937" t="s">
        <v>38</v>
      </c>
      <c r="I937">
        <v>1</v>
      </c>
      <c r="J937">
        <v>1373</v>
      </c>
      <c r="K937">
        <v>4</v>
      </c>
      <c r="L937" t="s">
        <v>46</v>
      </c>
      <c r="M937">
        <v>68</v>
      </c>
      <c r="N937">
        <v>3</v>
      </c>
      <c r="O937">
        <v>4</v>
      </c>
      <c r="P937" t="s">
        <v>53</v>
      </c>
      <c r="Q937">
        <v>2</v>
      </c>
      <c r="R937" t="s">
        <v>48</v>
      </c>
      <c r="S937">
        <v>13402</v>
      </c>
      <c r="T937">
        <v>18235</v>
      </c>
      <c r="U937">
        <v>4</v>
      </c>
      <c r="V937" t="s">
        <v>42</v>
      </c>
      <c r="W937" t="s">
        <v>35</v>
      </c>
      <c r="X937">
        <v>12</v>
      </c>
      <c r="Y937">
        <v>3</v>
      </c>
      <c r="Z937">
        <v>1</v>
      </c>
      <c r="AA937">
        <v>80</v>
      </c>
      <c r="AB937">
        <v>1</v>
      </c>
      <c r="AC937">
        <v>33</v>
      </c>
      <c r="AD937">
        <v>0</v>
      </c>
      <c r="AE937">
        <v>3</v>
      </c>
      <c r="AF937">
        <v>19</v>
      </c>
      <c r="AG937">
        <v>16</v>
      </c>
      <c r="AH937">
        <v>15</v>
      </c>
      <c r="AI937">
        <v>9</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35</v>
      </c>
      <c r="B945" t="s">
        <v>43</v>
      </c>
      <c r="C945" t="s">
        <v>36</v>
      </c>
      <c r="D945">
        <v>817</v>
      </c>
      <c r="E945" t="s">
        <v>45</v>
      </c>
      <c r="F945">
        <v>1</v>
      </c>
      <c r="G945">
        <v>3</v>
      </c>
      <c r="H945" t="s">
        <v>51</v>
      </c>
      <c r="I945">
        <v>1</v>
      </c>
      <c r="J945">
        <v>1369</v>
      </c>
      <c r="K945">
        <v>4</v>
      </c>
      <c r="L945" t="s">
        <v>39</v>
      </c>
      <c r="M945">
        <v>60</v>
      </c>
      <c r="N945">
        <v>2</v>
      </c>
      <c r="O945">
        <v>2</v>
      </c>
      <c r="P945" t="s">
        <v>50</v>
      </c>
      <c r="Q945">
        <v>4</v>
      </c>
      <c r="R945" t="s">
        <v>48</v>
      </c>
      <c r="S945">
        <v>5363</v>
      </c>
      <c r="T945">
        <v>10846</v>
      </c>
      <c r="U945">
        <v>0</v>
      </c>
      <c r="V945" t="s">
        <v>42</v>
      </c>
      <c r="W945" t="s">
        <v>43</v>
      </c>
      <c r="X945">
        <v>12</v>
      </c>
      <c r="Y945">
        <v>3</v>
      </c>
      <c r="Z945">
        <v>2</v>
      </c>
      <c r="AA945">
        <v>80</v>
      </c>
      <c r="AB945">
        <v>1</v>
      </c>
      <c r="AC945">
        <v>10</v>
      </c>
      <c r="AD945">
        <v>0</v>
      </c>
      <c r="AE945">
        <v>3</v>
      </c>
      <c r="AF945">
        <v>9</v>
      </c>
      <c r="AG945">
        <v>7</v>
      </c>
      <c r="AH945">
        <v>0</v>
      </c>
      <c r="AI945">
        <v>0</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18</v>
      </c>
      <c r="B948" t="s">
        <v>43</v>
      </c>
      <c r="C948" t="s">
        <v>55</v>
      </c>
      <c r="D948">
        <v>1124</v>
      </c>
      <c r="E948" t="s">
        <v>45</v>
      </c>
      <c r="F948">
        <v>1</v>
      </c>
      <c r="G948">
        <v>3</v>
      </c>
      <c r="H948" t="s">
        <v>38</v>
      </c>
      <c r="I948">
        <v>1</v>
      </c>
      <c r="J948">
        <v>1368</v>
      </c>
      <c r="K948">
        <v>4</v>
      </c>
      <c r="L948" t="s">
        <v>39</v>
      </c>
      <c r="M948">
        <v>97</v>
      </c>
      <c r="N948">
        <v>3</v>
      </c>
      <c r="O948">
        <v>1</v>
      </c>
      <c r="P948" t="s">
        <v>50</v>
      </c>
      <c r="Q948">
        <v>4</v>
      </c>
      <c r="R948" t="s">
        <v>41</v>
      </c>
      <c r="S948">
        <v>1611</v>
      </c>
      <c r="T948">
        <v>19305</v>
      </c>
      <c r="U948">
        <v>1</v>
      </c>
      <c r="V948" t="s">
        <v>42</v>
      </c>
      <c r="W948" t="s">
        <v>43</v>
      </c>
      <c r="X948">
        <v>15</v>
      </c>
      <c r="Y948">
        <v>3</v>
      </c>
      <c r="Z948">
        <v>3</v>
      </c>
      <c r="AA948">
        <v>80</v>
      </c>
      <c r="AB948">
        <v>0</v>
      </c>
      <c r="AC948">
        <v>0</v>
      </c>
      <c r="AD948">
        <v>5</v>
      </c>
      <c r="AE948">
        <v>4</v>
      </c>
      <c r="AF948">
        <v>0</v>
      </c>
      <c r="AG948">
        <v>0</v>
      </c>
      <c r="AH948">
        <v>0</v>
      </c>
      <c r="AI948">
        <v>0</v>
      </c>
    </row>
    <row r="949" spans="1:35" x14ac:dyDescent="0.35">
      <c r="A949">
        <v>51</v>
      </c>
      <c r="B949" t="s">
        <v>43</v>
      </c>
      <c r="C949" t="s">
        <v>36</v>
      </c>
      <c r="D949">
        <v>1405</v>
      </c>
      <c r="E949" t="s">
        <v>45</v>
      </c>
      <c r="F949">
        <v>11</v>
      </c>
      <c r="G949">
        <v>2</v>
      </c>
      <c r="H949" t="s">
        <v>60</v>
      </c>
      <c r="I949">
        <v>1</v>
      </c>
      <c r="J949">
        <v>1367</v>
      </c>
      <c r="K949">
        <v>4</v>
      </c>
      <c r="L949" t="s">
        <v>39</v>
      </c>
      <c r="M949">
        <v>82</v>
      </c>
      <c r="N949">
        <v>2</v>
      </c>
      <c r="O949">
        <v>4</v>
      </c>
      <c r="P949" t="s">
        <v>53</v>
      </c>
      <c r="Q949">
        <v>2</v>
      </c>
      <c r="R949" t="s">
        <v>41</v>
      </c>
      <c r="S949">
        <v>13142</v>
      </c>
      <c r="T949">
        <v>24439</v>
      </c>
      <c r="U949">
        <v>3</v>
      </c>
      <c r="V949" t="s">
        <v>42</v>
      </c>
      <c r="W949" t="s">
        <v>43</v>
      </c>
      <c r="X949">
        <v>16</v>
      </c>
      <c r="Y949">
        <v>3</v>
      </c>
      <c r="Z949">
        <v>2</v>
      </c>
      <c r="AA949">
        <v>80</v>
      </c>
      <c r="AB949">
        <v>0</v>
      </c>
      <c r="AC949">
        <v>29</v>
      </c>
      <c r="AD949">
        <v>1</v>
      </c>
      <c r="AE949">
        <v>2</v>
      </c>
      <c r="AF949">
        <v>5</v>
      </c>
      <c r="AG949">
        <v>2</v>
      </c>
      <c r="AH949">
        <v>0</v>
      </c>
      <c r="AI949">
        <v>3</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48</v>
      </c>
      <c r="B952" t="s">
        <v>43</v>
      </c>
      <c r="C952" t="s">
        <v>36</v>
      </c>
      <c r="D952">
        <v>855</v>
      </c>
      <c r="E952" t="s">
        <v>45</v>
      </c>
      <c r="F952">
        <v>4</v>
      </c>
      <c r="G952">
        <v>3</v>
      </c>
      <c r="H952" t="s">
        <v>38</v>
      </c>
      <c r="I952">
        <v>1</v>
      </c>
      <c r="J952">
        <v>1363</v>
      </c>
      <c r="K952">
        <v>4</v>
      </c>
      <c r="L952" t="s">
        <v>46</v>
      </c>
      <c r="M952">
        <v>54</v>
      </c>
      <c r="N952">
        <v>3</v>
      </c>
      <c r="O952">
        <v>3</v>
      </c>
      <c r="P952" t="s">
        <v>53</v>
      </c>
      <c r="Q952">
        <v>4</v>
      </c>
      <c r="R952" t="s">
        <v>41</v>
      </c>
      <c r="S952">
        <v>7898</v>
      </c>
      <c r="T952">
        <v>18706</v>
      </c>
      <c r="U952">
        <v>1</v>
      </c>
      <c r="V952" t="s">
        <v>42</v>
      </c>
      <c r="W952" t="s">
        <v>43</v>
      </c>
      <c r="X952">
        <v>11</v>
      </c>
      <c r="Y952">
        <v>3</v>
      </c>
      <c r="Z952">
        <v>3</v>
      </c>
      <c r="AA952">
        <v>80</v>
      </c>
      <c r="AB952">
        <v>0</v>
      </c>
      <c r="AC952">
        <v>11</v>
      </c>
      <c r="AD952">
        <v>2</v>
      </c>
      <c r="AE952">
        <v>3</v>
      </c>
      <c r="AF952">
        <v>10</v>
      </c>
      <c r="AG952">
        <v>9</v>
      </c>
      <c r="AH952">
        <v>0</v>
      </c>
      <c r="AI952">
        <v>8</v>
      </c>
    </row>
    <row r="953" spans="1:35" x14ac:dyDescent="0.35">
      <c r="A953">
        <v>40</v>
      </c>
      <c r="B953" t="s">
        <v>43</v>
      </c>
      <c r="C953" t="s">
        <v>36</v>
      </c>
      <c r="D953">
        <v>329</v>
      </c>
      <c r="E953" t="s">
        <v>45</v>
      </c>
      <c r="F953">
        <v>1</v>
      </c>
      <c r="G953">
        <v>4</v>
      </c>
      <c r="H953" t="s">
        <v>38</v>
      </c>
      <c r="I953">
        <v>1</v>
      </c>
      <c r="J953">
        <v>1361</v>
      </c>
      <c r="K953">
        <v>2</v>
      </c>
      <c r="L953" t="s">
        <v>46</v>
      </c>
      <c r="M953">
        <v>88</v>
      </c>
      <c r="N953">
        <v>3</v>
      </c>
      <c r="O953">
        <v>1</v>
      </c>
      <c r="P953" t="s">
        <v>50</v>
      </c>
      <c r="Q953">
        <v>2</v>
      </c>
      <c r="R953" t="s">
        <v>48</v>
      </c>
      <c r="S953">
        <v>2387</v>
      </c>
      <c r="T953">
        <v>6762</v>
      </c>
      <c r="U953">
        <v>3</v>
      </c>
      <c r="V953" t="s">
        <v>42</v>
      </c>
      <c r="W953" t="s">
        <v>43</v>
      </c>
      <c r="X953">
        <v>22</v>
      </c>
      <c r="Y953">
        <v>4</v>
      </c>
      <c r="Z953">
        <v>3</v>
      </c>
      <c r="AA953">
        <v>80</v>
      </c>
      <c r="AB953">
        <v>1</v>
      </c>
      <c r="AC953">
        <v>7</v>
      </c>
      <c r="AD953">
        <v>3</v>
      </c>
      <c r="AE953">
        <v>3</v>
      </c>
      <c r="AF953">
        <v>4</v>
      </c>
      <c r="AG953">
        <v>2</v>
      </c>
      <c r="AH953">
        <v>0</v>
      </c>
      <c r="AI953">
        <v>3</v>
      </c>
    </row>
    <row r="954" spans="1:35" x14ac:dyDescent="0.35">
      <c r="A954">
        <v>58</v>
      </c>
      <c r="B954" t="s">
        <v>35</v>
      </c>
      <c r="C954" t="s">
        <v>36</v>
      </c>
      <c r="D954">
        <v>601</v>
      </c>
      <c r="E954" t="s">
        <v>45</v>
      </c>
      <c r="F954">
        <v>7</v>
      </c>
      <c r="G954">
        <v>4</v>
      </c>
      <c r="H954" t="s">
        <v>51</v>
      </c>
      <c r="I954">
        <v>1</v>
      </c>
      <c r="J954">
        <v>1360</v>
      </c>
      <c r="K954">
        <v>3</v>
      </c>
      <c r="L954" t="s">
        <v>39</v>
      </c>
      <c r="M954">
        <v>53</v>
      </c>
      <c r="N954">
        <v>2</v>
      </c>
      <c r="O954">
        <v>3</v>
      </c>
      <c r="P954" t="s">
        <v>53</v>
      </c>
      <c r="Q954">
        <v>1</v>
      </c>
      <c r="R954" t="s">
        <v>48</v>
      </c>
      <c r="S954">
        <v>10008</v>
      </c>
      <c r="T954">
        <v>12023</v>
      </c>
      <c r="U954">
        <v>7</v>
      </c>
      <c r="V954" t="s">
        <v>42</v>
      </c>
      <c r="W954" t="s">
        <v>35</v>
      </c>
      <c r="X954">
        <v>14</v>
      </c>
      <c r="Y954">
        <v>3</v>
      </c>
      <c r="Z954">
        <v>4</v>
      </c>
      <c r="AA954">
        <v>80</v>
      </c>
      <c r="AB954">
        <v>0</v>
      </c>
      <c r="AC954">
        <v>31</v>
      </c>
      <c r="AD954">
        <v>0</v>
      </c>
      <c r="AE954">
        <v>2</v>
      </c>
      <c r="AF954">
        <v>10</v>
      </c>
      <c r="AG954">
        <v>9</v>
      </c>
      <c r="AH954">
        <v>5</v>
      </c>
      <c r="AI954">
        <v>9</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25</v>
      </c>
      <c r="B958" t="s">
        <v>43</v>
      </c>
      <c r="C958" t="s">
        <v>36</v>
      </c>
      <c r="D958">
        <v>882</v>
      </c>
      <c r="E958" t="s">
        <v>45</v>
      </c>
      <c r="F958">
        <v>19</v>
      </c>
      <c r="G958">
        <v>1</v>
      </c>
      <c r="H958" t="s">
        <v>51</v>
      </c>
      <c r="I958">
        <v>1</v>
      </c>
      <c r="J958">
        <v>1358</v>
      </c>
      <c r="K958">
        <v>4</v>
      </c>
      <c r="L958" t="s">
        <v>46</v>
      </c>
      <c r="M958">
        <v>67</v>
      </c>
      <c r="N958">
        <v>3</v>
      </c>
      <c r="O958">
        <v>1</v>
      </c>
      <c r="P958" t="s">
        <v>50</v>
      </c>
      <c r="Q958">
        <v>4</v>
      </c>
      <c r="R958" t="s">
        <v>48</v>
      </c>
      <c r="S958">
        <v>3669</v>
      </c>
      <c r="T958">
        <v>9075</v>
      </c>
      <c r="U958">
        <v>3</v>
      </c>
      <c r="V958" t="s">
        <v>42</v>
      </c>
      <c r="W958" t="s">
        <v>43</v>
      </c>
      <c r="X958">
        <v>11</v>
      </c>
      <c r="Y958">
        <v>3</v>
      </c>
      <c r="Z958">
        <v>3</v>
      </c>
      <c r="AA958">
        <v>80</v>
      </c>
      <c r="AB958">
        <v>3</v>
      </c>
      <c r="AC958">
        <v>7</v>
      </c>
      <c r="AD958">
        <v>6</v>
      </c>
      <c r="AE958">
        <v>2</v>
      </c>
      <c r="AF958">
        <v>3</v>
      </c>
      <c r="AG958">
        <v>2</v>
      </c>
      <c r="AH958">
        <v>1</v>
      </c>
      <c r="AI958">
        <v>2</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35</v>
      </c>
      <c r="B962" t="s">
        <v>43</v>
      </c>
      <c r="C962" t="s">
        <v>44</v>
      </c>
      <c r="D962">
        <v>482</v>
      </c>
      <c r="E962" t="s">
        <v>45</v>
      </c>
      <c r="F962">
        <v>4</v>
      </c>
      <c r="G962">
        <v>4</v>
      </c>
      <c r="H962" t="s">
        <v>38</v>
      </c>
      <c r="I962">
        <v>1</v>
      </c>
      <c r="J962">
        <v>1350</v>
      </c>
      <c r="K962">
        <v>3</v>
      </c>
      <c r="L962" t="s">
        <v>46</v>
      </c>
      <c r="M962">
        <v>87</v>
      </c>
      <c r="N962">
        <v>3</v>
      </c>
      <c r="O962">
        <v>2</v>
      </c>
      <c r="P962" t="s">
        <v>47</v>
      </c>
      <c r="Q962">
        <v>3</v>
      </c>
      <c r="R962" t="s">
        <v>41</v>
      </c>
      <c r="S962">
        <v>4249</v>
      </c>
      <c r="T962">
        <v>2690</v>
      </c>
      <c r="U962">
        <v>1</v>
      </c>
      <c r="V962" t="s">
        <v>42</v>
      </c>
      <c r="W962" t="s">
        <v>35</v>
      </c>
      <c r="X962">
        <v>11</v>
      </c>
      <c r="Y962">
        <v>3</v>
      </c>
      <c r="Z962">
        <v>2</v>
      </c>
      <c r="AA962">
        <v>80</v>
      </c>
      <c r="AB962">
        <v>0</v>
      </c>
      <c r="AC962">
        <v>9</v>
      </c>
      <c r="AD962">
        <v>3</v>
      </c>
      <c r="AE962">
        <v>3</v>
      </c>
      <c r="AF962">
        <v>9</v>
      </c>
      <c r="AG962">
        <v>6</v>
      </c>
      <c r="AH962">
        <v>1</v>
      </c>
      <c r="AI962">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workbookViewId="0">
      <selection activeCell="B11" sqref="B11"/>
    </sheetView>
  </sheetViews>
  <sheetFormatPr defaultRowHeight="14.5" x14ac:dyDescent="0.35"/>
  <cols>
    <col min="1" max="1" width="28" customWidth="1"/>
    <col min="2" max="2" width="15.81640625" customWidth="1"/>
    <col min="3" max="3" width="46.90625" bestFit="1" customWidth="1"/>
    <col min="4" max="4" width="41.6328125" bestFit="1" customWidth="1"/>
    <col min="5" max="5" width="10.7265625" bestFit="1" customWidth="1"/>
  </cols>
  <sheetData>
    <row r="1" spans="1:8" x14ac:dyDescent="0.35">
      <c r="A1" s="6" t="s">
        <v>1</v>
      </c>
      <c r="B1" t="s">
        <v>35</v>
      </c>
    </row>
    <row r="2" spans="1:8" x14ac:dyDescent="0.35">
      <c r="A2" s="11"/>
      <c r="B2" s="11"/>
    </row>
    <row r="3" spans="1:8" x14ac:dyDescent="0.35">
      <c r="A3" s="6" t="s">
        <v>70</v>
      </c>
      <c r="B3" t="s">
        <v>63</v>
      </c>
      <c r="C3" s="12" t="s">
        <v>69</v>
      </c>
      <c r="D3" s="12" t="s">
        <v>71</v>
      </c>
      <c r="E3" s="48" t="s">
        <v>85</v>
      </c>
      <c r="F3" s="48"/>
      <c r="G3" s="48"/>
      <c r="H3" s="48"/>
    </row>
    <row r="4" spans="1:8" x14ac:dyDescent="0.35">
      <c r="A4" s="14" t="s">
        <v>61</v>
      </c>
      <c r="B4" s="15">
        <v>12</v>
      </c>
      <c r="C4" s="18">
        <f>GETPIVOTDATA("Attrition",$A$3,"Department","Human Resources")/GETPIVOTDATA("Attrition",$A$3)</f>
        <v>5.0632911392405063E-2</v>
      </c>
      <c r="D4" s="18">
        <f>GETPIVOTDATA("Attrition",$A$3,"Department","Human Resources")/GETPIVOTDATA("Department",$A$9,"Department","Human Resources")</f>
        <v>0.19047619047619047</v>
      </c>
      <c r="E4" s="48"/>
      <c r="F4" s="48"/>
      <c r="G4" s="48"/>
      <c r="H4" s="48"/>
    </row>
    <row r="5" spans="1:8" x14ac:dyDescent="0.35">
      <c r="A5" s="14" t="s">
        <v>45</v>
      </c>
      <c r="B5" s="15">
        <v>133</v>
      </c>
      <c r="C5" s="18">
        <f>GETPIVOTDATA("Attrition",$A$3,"Department","Research &amp; Development")/GETPIVOTDATA("Attrition",$A$3)</f>
        <v>0.56118143459915615</v>
      </c>
      <c r="D5" s="18">
        <f>GETPIVOTDATA("Attrition",$A$3,"Department","Research &amp; Development")/GETPIVOTDATA("Department",$A$9,"Department","Research &amp; Development")</f>
        <v>0.13839750260145681</v>
      </c>
      <c r="E5" s="48"/>
      <c r="F5" s="48"/>
      <c r="G5" s="48"/>
      <c r="H5" s="48"/>
    </row>
    <row r="6" spans="1:8" x14ac:dyDescent="0.35">
      <c r="A6" s="14" t="s">
        <v>37</v>
      </c>
      <c r="B6" s="15">
        <v>92</v>
      </c>
      <c r="C6" s="18">
        <f>GETPIVOTDATA("Attrition",$A$3,"Department","Sales")/GETPIVOTDATA("Attrition",$A$3)</f>
        <v>0.3881856540084388</v>
      </c>
      <c r="D6" s="18">
        <f>GETPIVOTDATA("Attrition",$A$3,"Department","Sales")/GETPIVOTDATA("Department",$A$9,"Department","Sales")</f>
        <v>0.20627802690582961</v>
      </c>
      <c r="E6" s="48"/>
      <c r="F6" s="48"/>
      <c r="G6" s="48"/>
      <c r="H6" s="48"/>
    </row>
    <row r="7" spans="1:8" x14ac:dyDescent="0.35">
      <c r="A7" s="7" t="s">
        <v>62</v>
      </c>
      <c r="B7" s="8">
        <v>237</v>
      </c>
      <c r="C7" s="11"/>
      <c r="D7" s="19">
        <f>GETPIVOTDATA("Attrition",$A$3)/GETPIVOTDATA("Department",$A$9)</f>
        <v>0.16122448979591836</v>
      </c>
      <c r="E7" s="20" t="s">
        <v>73</v>
      </c>
      <c r="F7" s="20"/>
      <c r="G7" s="20"/>
      <c r="H7" s="20"/>
    </row>
    <row r="8" spans="1:8" x14ac:dyDescent="0.35">
      <c r="A8" s="7"/>
      <c r="B8" s="8"/>
    </row>
    <row r="9" spans="1:8" x14ac:dyDescent="0.35">
      <c r="A9" s="6" t="s">
        <v>64</v>
      </c>
      <c r="B9" t="s">
        <v>65</v>
      </c>
      <c r="C9" s="12" t="s">
        <v>72</v>
      </c>
    </row>
    <row r="10" spans="1:8" x14ac:dyDescent="0.35">
      <c r="A10" s="14" t="s">
        <v>61</v>
      </c>
      <c r="B10" s="15">
        <v>63</v>
      </c>
      <c r="C10" s="18">
        <f>GETPIVOTDATA("Department",$A$9,"Department","Human Resources")/GETPIVOTDATA("Department",$A$9)</f>
        <v>4.2857142857142858E-2</v>
      </c>
      <c r="D10" s="38">
        <f>GETPIVOTDATA("Attrition",$A$3,"Department","Human Resources")/GETPIVOTDATA("Department",$A$9)</f>
        <v>8.1632653061224497E-3</v>
      </c>
    </row>
    <row r="11" spans="1:8" x14ac:dyDescent="0.35">
      <c r="A11" s="14" t="s">
        <v>45</v>
      </c>
      <c r="B11" s="15">
        <v>961</v>
      </c>
      <c r="C11" s="18">
        <f>GETPIVOTDATA("Department",$A$9,"Department","Research &amp; Development")/GETPIVOTDATA("Department",$A$9)</f>
        <v>0.65374149659863945</v>
      </c>
      <c r="D11" s="46">
        <f>GETPIVOTDATA("Attrition",$A$3,"Department","Research &amp; Development")/GETPIVOTDATA("Department",$A$9)</f>
        <v>9.0476190476190474E-2</v>
      </c>
      <c r="E11" s="13"/>
    </row>
    <row r="12" spans="1:8" x14ac:dyDescent="0.35">
      <c r="A12" s="14" t="s">
        <v>37</v>
      </c>
      <c r="B12" s="15">
        <v>446</v>
      </c>
      <c r="C12" s="18">
        <f>GETPIVOTDATA("Department",$A$9,"Department","Sales")/GETPIVOTDATA("Department",$A$9)</f>
        <v>0.30340136054421768</v>
      </c>
      <c r="D12" s="38">
        <f>GETPIVOTDATA("Attrition",$A$3,"Department","Sales")/GETPIVOTDATA("Department",$A$9)</f>
        <v>6.2585034013605448E-2</v>
      </c>
    </row>
    <row r="13" spans="1:8" x14ac:dyDescent="0.35">
      <c r="A13" s="7" t="s">
        <v>62</v>
      </c>
      <c r="B13" s="8">
        <v>1470</v>
      </c>
    </row>
    <row r="15" spans="1:8" x14ac:dyDescent="0.35">
      <c r="A15" s="6" t="s">
        <v>1</v>
      </c>
      <c r="B15" t="s">
        <v>35</v>
      </c>
    </row>
    <row r="16" spans="1:8" x14ac:dyDescent="0.35">
      <c r="A16" s="11"/>
      <c r="B16" s="11"/>
    </row>
    <row r="17" spans="1:4" x14ac:dyDescent="0.35">
      <c r="A17" s="6" t="s">
        <v>68</v>
      </c>
      <c r="B17" t="s">
        <v>63</v>
      </c>
      <c r="C17" s="11" t="s">
        <v>74</v>
      </c>
      <c r="D17" s="48" t="s">
        <v>76</v>
      </c>
    </row>
    <row r="18" spans="1:4" x14ac:dyDescent="0.35">
      <c r="A18" s="14" t="s">
        <v>39</v>
      </c>
      <c r="B18" s="15">
        <v>87</v>
      </c>
      <c r="C18" s="16">
        <f>GETPIVOTDATA("Attrition",$A$17,"Gender","Female")/GETPIVOTDATA("Gender",$A$22,"Gender","Female")</f>
        <v>0.14795918367346939</v>
      </c>
      <c r="D18" s="48"/>
    </row>
    <row r="19" spans="1:4" x14ac:dyDescent="0.35">
      <c r="A19" s="14" t="s">
        <v>46</v>
      </c>
      <c r="B19" s="15">
        <v>150</v>
      </c>
      <c r="C19" s="16">
        <f>GETPIVOTDATA("Attrition",$A$17,"Gender","Male")/GETPIVOTDATA("Gender",$A$22,"Gender","Male")</f>
        <v>0.17006802721088435</v>
      </c>
      <c r="D19" s="48"/>
    </row>
    <row r="20" spans="1:4" x14ac:dyDescent="0.35">
      <c r="A20" s="7" t="s">
        <v>62</v>
      </c>
      <c r="B20" s="8">
        <v>237</v>
      </c>
      <c r="D20" s="48"/>
    </row>
    <row r="22" spans="1:4" x14ac:dyDescent="0.35">
      <c r="A22" s="6" t="s">
        <v>67</v>
      </c>
      <c r="B22" s="11" t="s">
        <v>66</v>
      </c>
      <c r="C22" s="11" t="s">
        <v>75</v>
      </c>
    </row>
    <row r="23" spans="1:4" x14ac:dyDescent="0.35">
      <c r="A23" s="14" t="s">
        <v>39</v>
      </c>
      <c r="B23" s="15">
        <v>588</v>
      </c>
      <c r="C23" s="17">
        <f>GETPIVOTDATA("Gender",$A$22,"Gender","Female")/GETPIVOTDATA("Gender",$A$22)</f>
        <v>0.4</v>
      </c>
    </row>
    <row r="24" spans="1:4" x14ac:dyDescent="0.35">
      <c r="A24" s="14" t="s">
        <v>46</v>
      </c>
      <c r="B24" s="15">
        <v>882</v>
      </c>
      <c r="C24" s="17">
        <f>GETPIVOTDATA("Gender",$A$22,"Gender","Male")/GETPIVOTDATA("Gender",$A$22)</f>
        <v>0.6</v>
      </c>
    </row>
    <row r="25" spans="1:4" x14ac:dyDescent="0.35">
      <c r="A25" s="7" t="s">
        <v>62</v>
      </c>
      <c r="B25" s="8">
        <v>1470</v>
      </c>
    </row>
    <row r="31" spans="1:4" x14ac:dyDescent="0.35">
      <c r="A31" s="14" t="s">
        <v>61</v>
      </c>
      <c r="B31" s="22">
        <v>0.19047619047619047</v>
      </c>
      <c r="C31" s="14" t="s">
        <v>39</v>
      </c>
      <c r="D31" s="37">
        <v>0.15</v>
      </c>
    </row>
    <row r="32" spans="1:4" x14ac:dyDescent="0.35">
      <c r="A32" s="14" t="s">
        <v>45</v>
      </c>
      <c r="B32" s="22">
        <v>0.13839750260145681</v>
      </c>
      <c r="C32" s="14" t="s">
        <v>46</v>
      </c>
      <c r="D32" s="37">
        <v>0.17</v>
      </c>
    </row>
    <row r="33" spans="1:4" x14ac:dyDescent="0.35">
      <c r="A33" s="14" t="s">
        <v>37</v>
      </c>
      <c r="B33" s="22">
        <v>0.20627802690582961</v>
      </c>
    </row>
    <row r="37" spans="1:4" x14ac:dyDescent="0.35">
      <c r="C37" t="s">
        <v>116</v>
      </c>
      <c r="D37" t="s">
        <v>79</v>
      </c>
    </row>
    <row r="38" spans="1:4" x14ac:dyDescent="0.35">
      <c r="B38" t="s">
        <v>114</v>
      </c>
      <c r="C38">
        <v>60</v>
      </c>
      <c r="D38" s="52">
        <v>0.17</v>
      </c>
    </row>
    <row r="39" spans="1:4" x14ac:dyDescent="0.35">
      <c r="B39" t="s">
        <v>115</v>
      </c>
      <c r="C39">
        <v>40</v>
      </c>
      <c r="D39" s="52">
        <v>0.15</v>
      </c>
    </row>
    <row r="43" spans="1:4" x14ac:dyDescent="0.35">
      <c r="B43" s="14" t="s">
        <v>61</v>
      </c>
      <c r="C43" s="18">
        <f>GETPIVOTDATA("Attrition",$A$3,"Department","Human Resources")/GETPIVOTDATA("Department",$A$9,"Department","Human Resources")</f>
        <v>0.19047619047619047</v>
      </c>
    </row>
    <row r="44" spans="1:4" x14ac:dyDescent="0.35">
      <c r="B44" s="14" t="s">
        <v>45</v>
      </c>
      <c r="C44" s="18">
        <f>GETPIVOTDATA("Attrition",$A$3,"Department","Research &amp; Development")/GETPIVOTDATA("Department",$A$9,"Department","Research &amp; Development")</f>
        <v>0.13839750260145681</v>
      </c>
    </row>
    <row r="45" spans="1:4" x14ac:dyDescent="0.35">
      <c r="B45" s="14" t="s">
        <v>37</v>
      </c>
      <c r="C45" s="18">
        <f>GETPIVOTDATA("Attrition",$A$3,"Department","Sales")/GETPIVOTDATA("Department",$A$9,"Department","Sales")</f>
        <v>0.20627802690582961</v>
      </c>
    </row>
    <row r="49" spans="3:4" x14ac:dyDescent="0.35">
      <c r="C49" t="s">
        <v>114</v>
      </c>
      <c r="D49" s="52">
        <v>0.17</v>
      </c>
    </row>
    <row r="50" spans="3:4" x14ac:dyDescent="0.35">
      <c r="C50" t="s">
        <v>115</v>
      </c>
      <c r="D50" s="52">
        <v>0.15</v>
      </c>
    </row>
  </sheetData>
  <mergeCells count="2">
    <mergeCell ref="D17:D20"/>
    <mergeCell ref="E3:H6"/>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J29" sqref="J29"/>
    </sheetView>
  </sheetViews>
  <sheetFormatPr defaultRowHeight="14.5" x14ac:dyDescent="0.35"/>
  <cols>
    <col min="1" max="1" width="12.08984375" bestFit="1" customWidth="1"/>
    <col min="2" max="2" width="27.08984375" customWidth="1"/>
  </cols>
  <sheetData>
    <row r="3" spans="1:2" x14ac:dyDescent="0.35">
      <c r="A3" s="6" t="s">
        <v>79</v>
      </c>
      <c r="B3" t="s">
        <v>78</v>
      </c>
    </row>
    <row r="4" spans="1:2" x14ac:dyDescent="0.35">
      <c r="A4" s="7" t="s">
        <v>43</v>
      </c>
      <c r="B4" s="8">
        <v>8.9156528791565286</v>
      </c>
    </row>
    <row r="5" spans="1:2" x14ac:dyDescent="0.35">
      <c r="A5" s="7" t="s">
        <v>35</v>
      </c>
      <c r="B5" s="8">
        <v>10.632911392405063</v>
      </c>
    </row>
    <row r="6" spans="1:2" x14ac:dyDescent="0.35">
      <c r="A6" s="7" t="s">
        <v>62</v>
      </c>
      <c r="B6" s="8">
        <v>9.1925170068027207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3" sqref="A3:B5"/>
    </sheetView>
  </sheetViews>
  <sheetFormatPr defaultRowHeight="14.5" x14ac:dyDescent="0.35"/>
  <cols>
    <col min="1" max="1" width="12.08984375" bestFit="1" customWidth="1"/>
    <col min="2" max="2" width="10.6328125" bestFit="1" customWidth="1"/>
    <col min="3" max="3" width="3.6328125" customWidth="1"/>
    <col min="4" max="4" width="10.7265625" bestFit="1" customWidth="1"/>
  </cols>
  <sheetData>
    <row r="3" spans="1:2" x14ac:dyDescent="0.35">
      <c r="A3" s="6" t="s">
        <v>79</v>
      </c>
      <c r="B3" t="s">
        <v>80</v>
      </c>
    </row>
    <row r="4" spans="1:2" x14ac:dyDescent="0.35">
      <c r="A4" s="7" t="s">
        <v>43</v>
      </c>
      <c r="B4" s="8">
        <v>1233</v>
      </c>
    </row>
    <row r="5" spans="1:2" x14ac:dyDescent="0.35">
      <c r="A5" s="7" t="s">
        <v>35</v>
      </c>
      <c r="B5" s="8">
        <v>237</v>
      </c>
    </row>
    <row r="6" spans="1:2" x14ac:dyDescent="0.35">
      <c r="A6" s="7" t="s">
        <v>62</v>
      </c>
      <c r="B6" s="8">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T155"/>
  <sheetViews>
    <sheetView showGridLines="0" tabSelected="1" topLeftCell="A31" zoomScaleNormal="100" workbookViewId="0">
      <selection activeCell="K51" sqref="K51"/>
    </sheetView>
  </sheetViews>
  <sheetFormatPr defaultRowHeight="14.5" x14ac:dyDescent="0.35"/>
  <cols>
    <col min="11" max="11" width="12.81640625" bestFit="1" customWidth="1"/>
    <col min="12" max="12" width="15" customWidth="1"/>
  </cols>
  <sheetData>
    <row r="1" spans="1:20" ht="23" x14ac:dyDescent="0.5">
      <c r="A1" s="49" t="s">
        <v>84</v>
      </c>
      <c r="B1" s="49"/>
      <c r="C1" s="49"/>
      <c r="D1" s="49"/>
      <c r="E1" s="49"/>
      <c r="F1" s="49"/>
      <c r="G1" s="49"/>
      <c r="H1" s="49"/>
      <c r="I1" s="49"/>
      <c r="J1" s="49"/>
      <c r="K1" s="49"/>
      <c r="L1" s="49"/>
      <c r="M1" s="49"/>
      <c r="N1" s="49"/>
      <c r="O1" s="53"/>
      <c r="P1" s="53"/>
      <c r="Q1" s="53"/>
      <c r="R1" s="53"/>
      <c r="S1" s="53"/>
      <c r="T1" s="53"/>
    </row>
    <row r="2" spans="1:20" x14ac:dyDescent="0.35">
      <c r="A2" s="43"/>
      <c r="B2" s="43"/>
      <c r="C2" s="43"/>
      <c r="D2" s="43"/>
      <c r="E2" s="43"/>
      <c r="F2" s="43"/>
      <c r="G2" s="43"/>
      <c r="H2" s="43"/>
      <c r="I2" s="43"/>
      <c r="J2" s="43"/>
      <c r="K2" s="43"/>
      <c r="L2" s="43"/>
      <c r="M2" s="43"/>
      <c r="N2" s="43"/>
      <c r="O2" s="43"/>
      <c r="P2" s="43"/>
      <c r="Q2" s="43"/>
      <c r="R2" s="43"/>
      <c r="S2" s="43"/>
      <c r="T2" s="43"/>
    </row>
    <row r="3" spans="1:20" x14ac:dyDescent="0.35">
      <c r="A3" s="43"/>
      <c r="B3" s="43"/>
      <c r="C3" s="43"/>
      <c r="D3" s="43"/>
      <c r="E3" s="43"/>
      <c r="F3" s="43"/>
      <c r="G3" s="43"/>
      <c r="H3" s="43"/>
      <c r="I3" s="43"/>
      <c r="J3" s="43"/>
      <c r="K3" s="43"/>
      <c r="L3" s="43"/>
      <c r="M3" s="43"/>
      <c r="N3" s="43"/>
      <c r="O3" s="43"/>
      <c r="P3" s="43"/>
      <c r="Q3" s="43"/>
      <c r="R3" s="43"/>
      <c r="S3" s="43"/>
      <c r="T3" s="43"/>
    </row>
    <row r="4" spans="1:20" x14ac:dyDescent="0.35">
      <c r="A4" s="43"/>
      <c r="B4" s="43"/>
      <c r="C4" s="43"/>
      <c r="D4" s="43"/>
      <c r="E4" s="43"/>
      <c r="F4" s="43"/>
      <c r="G4" s="43"/>
      <c r="H4" s="43"/>
      <c r="I4" s="43"/>
      <c r="J4" s="43"/>
      <c r="K4" s="43"/>
      <c r="L4" s="43"/>
      <c r="M4" s="43"/>
      <c r="N4" s="43"/>
      <c r="O4" s="43"/>
      <c r="P4" s="43"/>
      <c r="Q4" s="43"/>
      <c r="R4" s="43"/>
      <c r="S4" s="43"/>
      <c r="T4" s="43"/>
    </row>
    <row r="5" spans="1:20" x14ac:dyDescent="0.35">
      <c r="A5" s="43"/>
      <c r="B5" s="43"/>
      <c r="C5" s="43"/>
      <c r="D5" s="43"/>
      <c r="E5" s="43"/>
      <c r="F5" s="43"/>
      <c r="G5" s="43"/>
      <c r="H5" s="43"/>
      <c r="I5" s="43"/>
      <c r="J5" s="43"/>
      <c r="K5" s="43"/>
      <c r="L5" s="43"/>
      <c r="M5" s="43"/>
      <c r="N5" s="43"/>
      <c r="O5" s="43"/>
      <c r="P5" s="43"/>
      <c r="Q5" s="43"/>
      <c r="R5" s="43"/>
      <c r="S5" s="43"/>
      <c r="T5" s="43"/>
    </row>
    <row r="6" spans="1:20" x14ac:dyDescent="0.35">
      <c r="A6" s="43"/>
      <c r="B6" s="43"/>
      <c r="C6" s="43"/>
      <c r="D6" s="43"/>
      <c r="E6" s="43"/>
      <c r="F6" s="43"/>
      <c r="G6" s="43"/>
      <c r="H6" s="43"/>
      <c r="I6" s="43"/>
      <c r="J6" s="43"/>
      <c r="K6" s="43"/>
      <c r="L6" s="43"/>
      <c r="M6" s="43"/>
      <c r="N6" s="43"/>
      <c r="O6" s="43"/>
      <c r="P6" s="43"/>
      <c r="Q6" s="43"/>
      <c r="R6" s="43"/>
      <c r="S6" s="43"/>
      <c r="T6" s="43"/>
    </row>
    <row r="7" spans="1:20" x14ac:dyDescent="0.35">
      <c r="A7" s="43"/>
      <c r="B7" s="43"/>
      <c r="C7" s="43"/>
      <c r="D7" s="43"/>
      <c r="E7" s="43"/>
      <c r="F7" s="43"/>
      <c r="G7" s="43"/>
      <c r="H7" s="43"/>
      <c r="I7" s="43"/>
      <c r="J7" s="43"/>
      <c r="K7" s="43"/>
      <c r="L7" s="43"/>
      <c r="M7" s="43"/>
      <c r="N7" s="43"/>
      <c r="O7" s="43"/>
      <c r="P7" s="43"/>
      <c r="Q7" s="43"/>
      <c r="R7" s="43"/>
      <c r="S7" s="43"/>
      <c r="T7" s="43"/>
    </row>
    <row r="8" spans="1:20" ht="32.5" customHeight="1" x14ac:dyDescent="0.35">
      <c r="A8" s="43"/>
      <c r="B8" s="43"/>
      <c r="C8" s="43"/>
      <c r="D8" s="43"/>
      <c r="E8" s="43"/>
      <c r="F8" s="43"/>
      <c r="G8" s="43"/>
      <c r="H8" s="43"/>
      <c r="I8" s="43"/>
      <c r="J8" s="43"/>
      <c r="L8" s="44"/>
      <c r="M8" s="43"/>
      <c r="N8" s="43"/>
      <c r="O8" s="43"/>
      <c r="P8" s="43"/>
      <c r="Q8" s="43"/>
      <c r="R8" s="43"/>
      <c r="S8" s="43"/>
      <c r="T8" s="43"/>
    </row>
    <row r="9" spans="1:20" x14ac:dyDescent="0.35">
      <c r="A9" s="43"/>
      <c r="B9" s="43"/>
      <c r="C9" s="43"/>
      <c r="D9" s="43"/>
      <c r="E9" s="43"/>
      <c r="F9" s="43"/>
      <c r="G9" s="43"/>
      <c r="H9" s="43"/>
      <c r="I9" s="43"/>
      <c r="J9" s="43"/>
      <c r="K9" s="7"/>
      <c r="L9" s="21"/>
      <c r="M9" s="43"/>
      <c r="N9" s="43"/>
      <c r="O9" s="43"/>
      <c r="P9" s="43"/>
      <c r="Q9" s="43"/>
      <c r="R9" s="43"/>
      <c r="S9" s="43"/>
      <c r="T9" s="43"/>
    </row>
    <row r="10" spans="1:20" x14ac:dyDescent="0.35">
      <c r="A10" s="43"/>
      <c r="B10" s="43"/>
      <c r="C10" s="43"/>
      <c r="D10" s="43"/>
      <c r="E10" s="43"/>
      <c r="F10" s="43"/>
      <c r="G10" s="43"/>
      <c r="H10" s="43"/>
      <c r="I10" s="43"/>
      <c r="J10" s="43"/>
      <c r="K10" s="7"/>
      <c r="L10" s="21"/>
      <c r="M10" s="43"/>
      <c r="N10" s="43"/>
      <c r="O10" s="43"/>
      <c r="P10" s="43"/>
      <c r="Q10" s="43"/>
      <c r="R10" s="43"/>
      <c r="S10" s="43"/>
      <c r="T10" s="43"/>
    </row>
    <row r="11" spans="1:20" x14ac:dyDescent="0.35">
      <c r="A11" s="43"/>
      <c r="B11" s="43"/>
      <c r="C11" s="43"/>
      <c r="D11" s="43"/>
      <c r="E11" s="43"/>
      <c r="F11" s="43"/>
      <c r="G11" s="43"/>
      <c r="H11" s="43"/>
      <c r="I11" s="43"/>
      <c r="J11" s="43"/>
      <c r="K11" s="7"/>
      <c r="L11" s="21"/>
      <c r="M11" s="43"/>
      <c r="N11" s="43"/>
      <c r="O11" s="43"/>
      <c r="P11" s="43"/>
      <c r="Q11" s="43"/>
      <c r="R11" s="43"/>
      <c r="S11" s="43"/>
      <c r="T11" s="43"/>
    </row>
    <row r="12" spans="1:20" x14ac:dyDescent="0.35">
      <c r="A12" s="43"/>
      <c r="B12" s="43"/>
      <c r="C12" s="43"/>
      <c r="D12" s="43"/>
      <c r="E12" s="43"/>
      <c r="F12" s="43"/>
      <c r="G12" s="43"/>
      <c r="H12" s="43"/>
      <c r="I12" s="43"/>
      <c r="J12" s="43"/>
      <c r="K12" s="7"/>
      <c r="L12" s="21"/>
      <c r="M12" s="43"/>
      <c r="N12" s="43"/>
      <c r="O12" s="43"/>
      <c r="P12" s="43"/>
      <c r="Q12" s="43"/>
      <c r="R12" s="43"/>
      <c r="S12" s="43"/>
      <c r="T12" s="43"/>
    </row>
    <row r="13" spans="1:20" x14ac:dyDescent="0.35">
      <c r="A13" s="43"/>
      <c r="B13" s="43"/>
      <c r="C13" s="43"/>
      <c r="D13" s="43"/>
      <c r="E13" s="43"/>
      <c r="F13" s="43"/>
      <c r="G13" s="43"/>
      <c r="H13" s="43"/>
      <c r="I13" s="43"/>
      <c r="J13" s="43"/>
      <c r="K13" s="7"/>
      <c r="L13" s="21"/>
      <c r="M13" s="43"/>
      <c r="N13" s="43"/>
      <c r="O13" s="43"/>
      <c r="P13" s="43"/>
      <c r="Q13" s="43"/>
      <c r="R13" s="43"/>
      <c r="S13" s="43"/>
      <c r="T13" s="43"/>
    </row>
    <row r="14" spans="1:20" x14ac:dyDescent="0.35">
      <c r="A14" s="43"/>
      <c r="B14" s="43"/>
      <c r="C14" s="43"/>
      <c r="D14" s="43"/>
      <c r="E14" s="43"/>
      <c r="F14" s="43"/>
      <c r="G14" s="43"/>
      <c r="H14" s="43"/>
      <c r="I14" s="43"/>
      <c r="J14" s="43"/>
      <c r="K14" s="7"/>
      <c r="L14" s="8"/>
      <c r="M14" s="43"/>
      <c r="N14" s="43"/>
      <c r="O14" s="43"/>
      <c r="P14" s="43"/>
      <c r="Q14" s="43"/>
      <c r="R14" s="43"/>
      <c r="S14" s="43"/>
      <c r="T14" s="43"/>
    </row>
    <row r="15" spans="1:20" x14ac:dyDescent="0.35">
      <c r="A15" s="43"/>
      <c r="B15" s="43"/>
      <c r="C15" s="43"/>
      <c r="D15" s="43"/>
      <c r="E15" s="43"/>
      <c r="F15" s="43"/>
      <c r="G15" s="43"/>
      <c r="H15" s="43"/>
      <c r="I15" s="43"/>
      <c r="J15" s="43"/>
      <c r="K15" s="43"/>
      <c r="L15" s="43"/>
      <c r="M15" s="43"/>
      <c r="N15" s="43"/>
      <c r="O15" s="43"/>
      <c r="P15" s="43"/>
      <c r="Q15" s="43"/>
      <c r="R15" s="43"/>
      <c r="S15" s="43"/>
      <c r="T15" s="43"/>
    </row>
    <row r="16" spans="1:20" x14ac:dyDescent="0.35">
      <c r="A16" s="43"/>
      <c r="B16" s="43"/>
      <c r="C16" s="43"/>
      <c r="D16" s="43"/>
      <c r="E16" s="43"/>
      <c r="F16" s="43"/>
      <c r="G16" s="43"/>
      <c r="H16" s="43"/>
      <c r="I16" s="43"/>
      <c r="J16" s="43"/>
      <c r="K16" s="43"/>
      <c r="L16" s="43"/>
      <c r="M16" s="43"/>
      <c r="N16" s="43"/>
      <c r="O16" s="43"/>
      <c r="P16" s="43"/>
      <c r="Q16" s="43"/>
      <c r="R16" s="43"/>
      <c r="S16" s="43"/>
      <c r="T16" s="43"/>
    </row>
    <row r="17" spans="1:20" x14ac:dyDescent="0.35">
      <c r="A17" s="43"/>
      <c r="B17" s="43"/>
      <c r="C17" s="43"/>
      <c r="D17" s="43"/>
      <c r="E17" s="43"/>
      <c r="F17" s="43"/>
      <c r="G17" s="43"/>
      <c r="H17" s="43"/>
      <c r="I17" s="43"/>
      <c r="J17" s="43"/>
      <c r="K17" s="43"/>
      <c r="L17" s="43"/>
      <c r="M17" s="43"/>
      <c r="N17" s="43"/>
      <c r="O17" s="43"/>
      <c r="P17" s="43"/>
      <c r="Q17" s="43"/>
      <c r="R17" s="43"/>
      <c r="S17" s="43"/>
      <c r="T17" s="43"/>
    </row>
    <row r="18" spans="1:20" x14ac:dyDescent="0.35">
      <c r="A18" s="43"/>
      <c r="B18" s="43"/>
      <c r="C18" s="43"/>
      <c r="D18" s="43"/>
      <c r="E18" s="43"/>
      <c r="F18" s="43"/>
      <c r="G18" s="43"/>
      <c r="H18" s="43"/>
      <c r="I18" s="43"/>
      <c r="J18" s="43"/>
      <c r="K18" s="43"/>
      <c r="L18" s="43"/>
      <c r="M18" s="43"/>
      <c r="N18" s="43"/>
      <c r="O18" s="43"/>
      <c r="P18" s="43"/>
      <c r="Q18" s="43"/>
      <c r="R18" s="43"/>
      <c r="S18" s="43"/>
      <c r="T18" s="43"/>
    </row>
    <row r="19" spans="1:20" x14ac:dyDescent="0.35">
      <c r="A19" s="43"/>
      <c r="B19" s="43"/>
      <c r="C19" s="43"/>
      <c r="D19" s="43"/>
      <c r="E19" s="43"/>
      <c r="F19" s="43"/>
      <c r="G19" s="43"/>
      <c r="H19" s="43"/>
      <c r="I19" s="43"/>
      <c r="J19" s="43"/>
      <c r="K19" s="43"/>
      <c r="L19" s="43"/>
      <c r="M19" s="43"/>
      <c r="N19" s="43"/>
      <c r="O19" s="43"/>
      <c r="P19" s="43"/>
      <c r="Q19" s="43"/>
      <c r="R19" s="43"/>
      <c r="S19" s="43"/>
      <c r="T19" s="43"/>
    </row>
    <row r="20" spans="1:20" x14ac:dyDescent="0.35">
      <c r="A20" s="43"/>
      <c r="B20" s="43"/>
      <c r="C20" s="43"/>
      <c r="D20" s="43"/>
      <c r="E20" s="43"/>
      <c r="F20" s="43"/>
      <c r="G20" s="43"/>
      <c r="H20" s="43"/>
      <c r="I20" s="43"/>
      <c r="J20" s="43"/>
      <c r="K20" s="43"/>
      <c r="L20" s="43"/>
      <c r="M20" s="43"/>
      <c r="N20" s="43"/>
      <c r="O20" s="43"/>
      <c r="P20" s="43"/>
      <c r="Q20" s="43"/>
      <c r="R20" s="43"/>
      <c r="S20" s="43"/>
      <c r="T20" s="43"/>
    </row>
    <row r="21" spans="1:20" x14ac:dyDescent="0.35">
      <c r="A21" s="43"/>
      <c r="B21" s="43"/>
      <c r="C21" s="43"/>
      <c r="D21" s="43"/>
      <c r="E21" s="43"/>
      <c r="F21" s="43"/>
      <c r="G21" s="43"/>
      <c r="H21" s="43"/>
      <c r="I21" s="43"/>
      <c r="J21" s="43"/>
      <c r="K21" s="43"/>
      <c r="L21" s="43"/>
      <c r="M21" s="43"/>
      <c r="N21" s="43"/>
      <c r="O21" s="43"/>
      <c r="P21" s="43"/>
      <c r="Q21" s="43"/>
      <c r="R21" s="43"/>
      <c r="S21" s="43"/>
      <c r="T21" s="43"/>
    </row>
    <row r="22" spans="1:20" x14ac:dyDescent="0.35">
      <c r="A22" s="43"/>
      <c r="B22" s="43"/>
      <c r="C22" s="43"/>
      <c r="D22" s="43"/>
      <c r="E22" s="43"/>
      <c r="F22" s="43"/>
      <c r="G22" s="43"/>
      <c r="H22" s="43"/>
      <c r="I22" s="43"/>
      <c r="J22" s="43"/>
      <c r="K22" s="43"/>
      <c r="L22" s="43"/>
      <c r="M22" s="43"/>
      <c r="N22" s="43"/>
      <c r="O22" s="43"/>
      <c r="P22" s="43"/>
      <c r="Q22" s="43"/>
      <c r="R22" s="43"/>
      <c r="S22" s="43"/>
      <c r="T22" s="43"/>
    </row>
    <row r="23" spans="1:20" x14ac:dyDescent="0.35">
      <c r="A23" s="43"/>
      <c r="B23" s="43"/>
      <c r="C23" s="43"/>
      <c r="D23" s="43"/>
      <c r="E23" s="43"/>
      <c r="F23" s="43"/>
      <c r="G23" s="43"/>
      <c r="H23" s="43"/>
      <c r="I23" s="43"/>
      <c r="J23" s="43"/>
      <c r="K23" s="43"/>
      <c r="L23" s="43"/>
      <c r="M23" s="43"/>
      <c r="N23" s="43"/>
      <c r="O23" s="43"/>
      <c r="P23" s="43"/>
      <c r="Q23" s="43"/>
      <c r="R23" s="43"/>
      <c r="S23" s="43"/>
      <c r="T23" s="43"/>
    </row>
    <row r="24" spans="1:20" x14ac:dyDescent="0.35">
      <c r="A24" s="43"/>
      <c r="B24" s="43"/>
      <c r="C24" s="43"/>
      <c r="D24" s="43"/>
      <c r="E24" s="43"/>
      <c r="F24" s="43"/>
      <c r="G24" s="43"/>
      <c r="H24" s="43"/>
      <c r="I24" s="43"/>
      <c r="J24" s="43"/>
      <c r="K24" s="43"/>
      <c r="L24" s="43"/>
      <c r="M24" s="43"/>
      <c r="N24" s="43"/>
      <c r="O24" s="43"/>
      <c r="P24" s="43"/>
      <c r="Q24" s="43"/>
      <c r="R24" s="43"/>
      <c r="S24" s="43"/>
      <c r="T24" s="43"/>
    </row>
    <row r="25" spans="1:20" x14ac:dyDescent="0.35">
      <c r="A25" s="43"/>
      <c r="B25" s="43"/>
      <c r="C25" s="43"/>
      <c r="D25" s="43"/>
      <c r="E25" s="43"/>
      <c r="F25" s="43"/>
      <c r="G25" s="43"/>
      <c r="H25" s="43"/>
      <c r="I25" s="43"/>
      <c r="J25" s="43"/>
      <c r="K25" s="43"/>
      <c r="L25" s="43"/>
      <c r="M25" s="43"/>
      <c r="N25" s="43"/>
      <c r="O25" s="43"/>
      <c r="P25" s="43"/>
      <c r="Q25" s="43"/>
      <c r="R25" s="43"/>
      <c r="S25" s="43"/>
      <c r="T25" s="43"/>
    </row>
    <row r="26" spans="1:20" x14ac:dyDescent="0.35">
      <c r="A26" s="43"/>
      <c r="B26" s="43"/>
      <c r="C26" s="43"/>
      <c r="D26" s="43"/>
      <c r="E26" s="43"/>
      <c r="F26" s="43"/>
      <c r="G26" s="43"/>
      <c r="H26" s="43"/>
      <c r="I26" s="43"/>
      <c r="J26" s="43"/>
      <c r="K26" s="43"/>
      <c r="L26" s="43"/>
      <c r="M26" s="43"/>
      <c r="N26" s="43"/>
      <c r="O26" s="43"/>
      <c r="P26" s="43"/>
      <c r="Q26" s="43"/>
      <c r="R26" s="43"/>
      <c r="S26" s="43"/>
      <c r="T26" s="43"/>
    </row>
    <row r="27" spans="1:20" x14ac:dyDescent="0.35">
      <c r="A27" s="43"/>
      <c r="B27" s="43"/>
      <c r="C27" s="43"/>
      <c r="D27" s="43"/>
      <c r="E27" s="43"/>
      <c r="F27" s="43"/>
      <c r="G27" s="43"/>
      <c r="H27" s="43"/>
      <c r="I27" s="43"/>
      <c r="J27" s="43"/>
      <c r="K27" s="43"/>
      <c r="L27" s="43"/>
      <c r="M27" s="43"/>
      <c r="N27" s="43"/>
      <c r="O27" s="43"/>
      <c r="P27" s="43"/>
      <c r="Q27" s="43"/>
      <c r="R27" s="43"/>
      <c r="S27" s="43"/>
      <c r="T27" s="43"/>
    </row>
    <row r="28" spans="1:20" x14ac:dyDescent="0.35">
      <c r="A28" s="43"/>
      <c r="B28" s="43"/>
      <c r="C28" s="43"/>
      <c r="D28" s="43"/>
      <c r="E28" s="43"/>
      <c r="F28" s="43"/>
      <c r="G28" s="43"/>
      <c r="H28" s="43"/>
      <c r="I28" s="43"/>
      <c r="J28" s="43"/>
      <c r="K28" s="43"/>
      <c r="L28" s="43"/>
      <c r="M28" s="43"/>
      <c r="N28" s="43"/>
      <c r="O28" s="43"/>
      <c r="P28" s="43"/>
      <c r="Q28" s="43"/>
      <c r="R28" s="43"/>
      <c r="S28" s="43"/>
      <c r="T28" s="43"/>
    </row>
    <row r="29" spans="1:20" x14ac:dyDescent="0.35">
      <c r="A29" s="43"/>
      <c r="B29" s="43"/>
      <c r="C29" s="43"/>
      <c r="D29" s="43"/>
      <c r="E29" s="43"/>
      <c r="F29" s="43"/>
      <c r="G29" s="43"/>
      <c r="H29" s="43"/>
      <c r="I29" s="43"/>
      <c r="J29" s="43"/>
      <c r="K29" s="43"/>
      <c r="L29" s="43"/>
      <c r="M29" s="43"/>
      <c r="N29" s="43"/>
      <c r="O29" s="43"/>
      <c r="P29" s="43"/>
      <c r="Q29" s="43"/>
      <c r="R29" s="43"/>
      <c r="S29" s="43"/>
      <c r="T29" s="43"/>
    </row>
    <row r="30" spans="1:20" x14ac:dyDescent="0.35">
      <c r="A30" s="43"/>
      <c r="B30" s="43"/>
      <c r="C30" s="43"/>
      <c r="D30" s="43"/>
      <c r="E30" s="43"/>
      <c r="F30" s="43"/>
      <c r="G30" s="43"/>
      <c r="H30" s="43"/>
      <c r="I30" s="43"/>
      <c r="J30" s="43"/>
      <c r="K30" s="43"/>
      <c r="L30" s="43"/>
      <c r="M30" s="43"/>
      <c r="N30" s="43"/>
      <c r="O30" s="43"/>
      <c r="P30" s="43"/>
      <c r="Q30" s="43"/>
      <c r="R30" s="43"/>
      <c r="S30" s="43"/>
      <c r="T30" s="43"/>
    </row>
    <row r="31" spans="1:20" x14ac:dyDescent="0.35">
      <c r="A31" s="43"/>
      <c r="B31" s="43"/>
      <c r="C31" s="43"/>
      <c r="D31" s="43"/>
      <c r="E31" s="43"/>
      <c r="F31" s="43"/>
      <c r="G31" s="43"/>
      <c r="H31" s="43"/>
      <c r="I31" s="43"/>
      <c r="J31" s="43"/>
      <c r="K31" s="43"/>
      <c r="L31" s="43"/>
      <c r="M31" s="43"/>
      <c r="N31" s="43"/>
      <c r="O31" s="43"/>
      <c r="P31" s="43"/>
      <c r="Q31" s="43"/>
      <c r="R31" s="43"/>
      <c r="S31" s="43"/>
      <c r="T31" s="43"/>
    </row>
    <row r="32" spans="1:20" x14ac:dyDescent="0.35">
      <c r="A32" s="43"/>
      <c r="B32" s="43"/>
      <c r="C32" s="43"/>
      <c r="D32" s="43"/>
      <c r="E32" s="43"/>
      <c r="F32" s="43"/>
      <c r="G32" s="43"/>
      <c r="H32" s="43"/>
      <c r="I32" s="43"/>
      <c r="J32" s="43"/>
      <c r="K32" s="43"/>
      <c r="L32" s="43"/>
      <c r="M32" s="43"/>
      <c r="N32" s="43"/>
      <c r="O32" s="43"/>
      <c r="P32" s="43"/>
      <c r="Q32" s="43"/>
      <c r="R32" s="43"/>
      <c r="S32" s="43"/>
      <c r="T32" s="43"/>
    </row>
    <row r="33" spans="1:20" x14ac:dyDescent="0.35">
      <c r="A33" s="43"/>
      <c r="B33" s="43"/>
      <c r="C33" s="43"/>
      <c r="D33" s="43"/>
      <c r="E33" s="43"/>
      <c r="F33" s="43"/>
      <c r="G33" s="43"/>
      <c r="H33" s="43"/>
      <c r="I33" s="43"/>
      <c r="J33" s="43"/>
      <c r="K33" s="43"/>
      <c r="L33" s="43"/>
      <c r="M33" s="43"/>
      <c r="N33" s="43"/>
      <c r="O33" s="43"/>
      <c r="P33" s="43"/>
      <c r="Q33" s="43"/>
      <c r="R33" s="43"/>
      <c r="S33" s="43"/>
      <c r="T33" s="43"/>
    </row>
    <row r="34" spans="1:20" x14ac:dyDescent="0.35">
      <c r="A34" s="43"/>
      <c r="B34" s="43"/>
      <c r="C34" s="43"/>
      <c r="D34" s="43"/>
      <c r="E34" s="43"/>
      <c r="F34" s="43"/>
      <c r="G34" s="43"/>
      <c r="H34" s="43"/>
      <c r="I34" s="43"/>
      <c r="J34" s="43"/>
      <c r="K34" s="43"/>
      <c r="L34" s="43"/>
      <c r="M34" s="43"/>
      <c r="N34" s="43"/>
      <c r="O34" s="43"/>
      <c r="P34" s="43"/>
      <c r="Q34" s="43"/>
      <c r="R34" s="43"/>
      <c r="S34" s="43"/>
      <c r="T34" s="43"/>
    </row>
    <row r="35" spans="1:20" x14ac:dyDescent="0.35">
      <c r="A35" s="43"/>
      <c r="B35" s="43"/>
      <c r="C35" s="43"/>
      <c r="D35" s="43"/>
      <c r="E35" s="43"/>
      <c r="F35" s="43"/>
      <c r="G35" s="43"/>
      <c r="H35" s="43"/>
      <c r="I35" s="43"/>
      <c r="J35" s="43"/>
      <c r="K35" s="43"/>
      <c r="L35" s="43"/>
      <c r="M35" s="43"/>
      <c r="N35" s="43"/>
      <c r="O35" s="43"/>
      <c r="P35" s="43"/>
      <c r="Q35" s="43"/>
      <c r="R35" s="43"/>
      <c r="S35" s="43"/>
      <c r="T35" s="43"/>
    </row>
    <row r="36" spans="1:20" x14ac:dyDescent="0.35">
      <c r="A36" s="43"/>
      <c r="B36" s="43"/>
      <c r="C36" s="43"/>
      <c r="D36" s="43"/>
      <c r="E36" s="43"/>
      <c r="F36" s="43"/>
      <c r="G36" s="43"/>
      <c r="H36" s="43"/>
      <c r="I36" s="43"/>
      <c r="J36" s="43"/>
      <c r="K36" s="43"/>
      <c r="L36" s="43"/>
      <c r="M36" s="43"/>
      <c r="N36" s="43"/>
      <c r="O36" s="43"/>
      <c r="P36" s="43"/>
      <c r="Q36" s="43"/>
      <c r="R36" s="43"/>
      <c r="S36" s="43"/>
      <c r="T36" s="43"/>
    </row>
    <row r="37" spans="1:20" x14ac:dyDescent="0.35">
      <c r="A37" s="43"/>
      <c r="B37" s="43"/>
      <c r="C37" s="43"/>
      <c r="D37" s="43"/>
      <c r="E37" s="43"/>
      <c r="F37" s="43"/>
      <c r="G37" s="43"/>
      <c r="H37" s="43"/>
      <c r="I37" s="43"/>
      <c r="J37" s="43"/>
      <c r="K37" s="43"/>
      <c r="L37" s="43"/>
      <c r="M37" s="43"/>
      <c r="N37" s="43"/>
      <c r="O37" s="43"/>
      <c r="P37" s="43"/>
      <c r="Q37" s="43"/>
      <c r="R37" s="43"/>
      <c r="S37" s="43"/>
      <c r="T37" s="43"/>
    </row>
    <row r="38" spans="1:20" x14ac:dyDescent="0.35">
      <c r="A38" s="43"/>
      <c r="B38" s="43"/>
      <c r="C38" s="43"/>
      <c r="D38" s="43"/>
      <c r="E38" s="43"/>
      <c r="F38" s="43"/>
      <c r="G38" s="43"/>
      <c r="H38" s="43"/>
      <c r="I38" s="43"/>
      <c r="J38" s="43"/>
      <c r="K38" s="43"/>
      <c r="L38" s="43"/>
      <c r="M38" s="43"/>
      <c r="N38" s="43"/>
      <c r="O38" s="43"/>
      <c r="P38" s="43"/>
      <c r="Q38" s="43"/>
      <c r="R38" s="43"/>
      <c r="S38" s="43"/>
      <c r="T38" s="43"/>
    </row>
    <row r="39" spans="1:20" x14ac:dyDescent="0.35">
      <c r="A39" s="43"/>
      <c r="B39" s="43"/>
      <c r="C39" s="43"/>
      <c r="D39" s="43"/>
      <c r="E39" s="43"/>
      <c r="F39" s="43"/>
      <c r="G39" s="43"/>
      <c r="H39" s="43"/>
      <c r="I39" s="43"/>
      <c r="J39" s="43"/>
      <c r="K39" s="43"/>
      <c r="L39" s="43"/>
      <c r="M39" s="43"/>
      <c r="N39" s="43"/>
      <c r="O39" s="43"/>
      <c r="P39" s="43"/>
      <c r="Q39" s="43"/>
      <c r="R39" s="43"/>
      <c r="S39" s="43"/>
      <c r="T39" s="43"/>
    </row>
    <row r="40" spans="1:20" x14ac:dyDescent="0.35">
      <c r="A40" s="43"/>
      <c r="B40" s="43"/>
      <c r="C40" s="43"/>
      <c r="D40" s="43"/>
      <c r="E40" s="43"/>
      <c r="F40" s="43"/>
      <c r="G40" s="43"/>
      <c r="H40" s="43"/>
      <c r="I40" s="43"/>
      <c r="J40" s="43"/>
      <c r="K40" s="43"/>
      <c r="L40" s="43"/>
      <c r="M40" s="43"/>
      <c r="N40" s="43"/>
      <c r="O40" s="43"/>
      <c r="P40" s="43"/>
      <c r="Q40" s="43"/>
      <c r="R40" s="43"/>
      <c r="S40" s="43"/>
      <c r="T40" s="43"/>
    </row>
    <row r="41" spans="1:20" x14ac:dyDescent="0.35">
      <c r="A41" s="43"/>
      <c r="B41" s="43"/>
      <c r="C41" s="43"/>
      <c r="D41" s="43"/>
      <c r="E41" s="43"/>
      <c r="F41" s="43"/>
      <c r="G41" s="43"/>
      <c r="H41" s="43"/>
      <c r="I41" s="43"/>
      <c r="J41" s="43"/>
      <c r="K41" s="43"/>
      <c r="L41" s="43"/>
      <c r="M41" s="43"/>
      <c r="N41" s="43"/>
      <c r="O41" s="43"/>
      <c r="P41" s="43"/>
      <c r="Q41" s="43"/>
      <c r="R41" s="43"/>
      <c r="S41" s="43"/>
      <c r="T41" s="43"/>
    </row>
    <row r="42" spans="1:20" x14ac:dyDescent="0.35">
      <c r="A42" s="43"/>
      <c r="B42" s="43"/>
      <c r="C42" s="43"/>
      <c r="D42" s="43"/>
      <c r="E42" s="43"/>
      <c r="F42" s="43"/>
      <c r="G42" s="43"/>
      <c r="H42" s="43"/>
      <c r="I42" s="43"/>
      <c r="J42" s="43"/>
      <c r="K42" s="43"/>
      <c r="L42" s="43"/>
      <c r="M42" s="43"/>
      <c r="N42" s="43"/>
      <c r="O42" s="43"/>
      <c r="P42" s="43"/>
      <c r="Q42" s="43"/>
      <c r="R42" s="43"/>
      <c r="S42" s="43"/>
      <c r="T42" s="43"/>
    </row>
    <row r="43" spans="1:20" x14ac:dyDescent="0.35">
      <c r="A43" s="43"/>
      <c r="B43" s="43"/>
      <c r="C43" s="43"/>
      <c r="D43" s="43"/>
      <c r="E43" s="43"/>
      <c r="F43" s="43"/>
      <c r="G43" s="43"/>
      <c r="H43" s="43"/>
      <c r="I43" s="43"/>
      <c r="J43" s="43"/>
      <c r="K43" s="43"/>
      <c r="L43" s="43"/>
      <c r="M43" s="43"/>
      <c r="N43" s="43"/>
      <c r="O43" s="43"/>
      <c r="P43" s="43"/>
      <c r="Q43" s="43"/>
      <c r="R43" s="43"/>
      <c r="S43" s="43"/>
      <c r="T43" s="43"/>
    </row>
    <row r="44" spans="1:20" x14ac:dyDescent="0.35">
      <c r="A44" s="43"/>
      <c r="B44" s="43"/>
      <c r="C44" s="43"/>
      <c r="D44" s="43"/>
      <c r="E44" s="43"/>
      <c r="F44" s="43"/>
      <c r="G44" s="43"/>
      <c r="H44" s="43"/>
      <c r="I44" s="43"/>
      <c r="J44" s="43"/>
      <c r="K44" s="43"/>
      <c r="L44" s="43"/>
      <c r="M44" s="43"/>
      <c r="N44" s="43"/>
      <c r="O44" s="43"/>
      <c r="P44" s="43"/>
      <c r="Q44" s="43"/>
      <c r="R44" s="43"/>
      <c r="S44" s="43"/>
      <c r="T44" s="43"/>
    </row>
    <row r="45" spans="1:20" x14ac:dyDescent="0.35">
      <c r="A45" s="43"/>
      <c r="B45" s="43"/>
      <c r="C45" s="43"/>
      <c r="D45" s="43"/>
      <c r="E45" s="43"/>
      <c r="F45" s="43"/>
      <c r="G45" s="43"/>
      <c r="H45" s="43"/>
      <c r="I45" s="43"/>
      <c r="J45" s="43"/>
      <c r="K45" s="43"/>
      <c r="L45" s="43"/>
      <c r="M45" s="43"/>
      <c r="N45" s="43"/>
      <c r="O45" s="43"/>
      <c r="P45" s="43"/>
      <c r="Q45" s="43"/>
      <c r="R45" s="43"/>
      <c r="S45" s="43"/>
      <c r="T45" s="43"/>
    </row>
    <row r="46" spans="1:20" x14ac:dyDescent="0.35">
      <c r="A46" s="43"/>
      <c r="B46" s="43"/>
      <c r="C46" s="43"/>
      <c r="D46" s="43"/>
      <c r="E46" s="43"/>
      <c r="F46" s="43"/>
      <c r="G46" s="43"/>
      <c r="H46" s="43"/>
      <c r="I46" s="43"/>
      <c r="J46" s="43"/>
      <c r="K46" s="43"/>
      <c r="L46" s="43"/>
      <c r="M46" s="43"/>
      <c r="N46" s="43"/>
      <c r="O46" s="43"/>
      <c r="P46" s="43"/>
      <c r="Q46" s="43"/>
      <c r="R46" s="43"/>
      <c r="S46" s="43"/>
      <c r="T46" s="43"/>
    </row>
    <row r="47" spans="1:20" x14ac:dyDescent="0.35">
      <c r="A47" s="43"/>
      <c r="B47" s="43"/>
      <c r="C47" s="43"/>
      <c r="D47" s="43"/>
      <c r="E47" s="43"/>
      <c r="F47" s="43"/>
      <c r="G47" s="43"/>
      <c r="H47" s="43"/>
      <c r="I47" s="43"/>
      <c r="J47" s="43"/>
      <c r="K47" s="43"/>
      <c r="L47" s="43"/>
      <c r="M47" s="43"/>
      <c r="N47" s="43"/>
      <c r="O47" s="43"/>
      <c r="P47" s="43"/>
      <c r="Q47" s="43"/>
      <c r="R47" s="43"/>
      <c r="S47" s="43"/>
      <c r="T47" s="43"/>
    </row>
    <row r="48" spans="1:20" x14ac:dyDescent="0.35">
      <c r="A48" s="43"/>
      <c r="B48" s="43"/>
      <c r="C48" s="43"/>
      <c r="D48" s="43"/>
      <c r="E48" s="43"/>
      <c r="F48" s="43"/>
      <c r="G48" s="43"/>
      <c r="H48" s="43"/>
      <c r="I48" s="43"/>
      <c r="J48" s="43"/>
      <c r="K48" s="43"/>
      <c r="L48" s="43"/>
      <c r="M48" s="43"/>
      <c r="N48" s="43"/>
      <c r="O48" s="43"/>
      <c r="P48" s="43"/>
      <c r="Q48" s="43"/>
      <c r="R48" s="43"/>
      <c r="S48" s="43"/>
      <c r="T48" s="43"/>
    </row>
    <row r="49" spans="1:20" x14ac:dyDescent="0.35">
      <c r="A49" s="43"/>
      <c r="B49" s="43"/>
      <c r="C49" s="43"/>
      <c r="D49" s="43"/>
      <c r="E49" s="43"/>
      <c r="F49" s="43"/>
      <c r="G49" s="43"/>
      <c r="H49" s="43"/>
      <c r="I49" s="43"/>
      <c r="J49" s="43"/>
      <c r="K49" s="43"/>
      <c r="L49" s="43"/>
      <c r="M49" s="43"/>
      <c r="N49" s="43"/>
      <c r="O49" s="43"/>
      <c r="P49" s="43"/>
      <c r="Q49" s="43"/>
      <c r="R49" s="43"/>
      <c r="S49" s="43"/>
      <c r="T49" s="43"/>
    </row>
    <row r="50" spans="1:20" x14ac:dyDescent="0.35">
      <c r="A50" s="43"/>
      <c r="B50" s="43"/>
      <c r="C50" s="43"/>
      <c r="D50" s="43"/>
      <c r="E50" s="43"/>
      <c r="F50" s="43"/>
      <c r="G50" s="43"/>
      <c r="H50" s="43"/>
      <c r="I50" s="43"/>
      <c r="J50" s="43"/>
      <c r="K50" s="43"/>
      <c r="L50" s="43"/>
      <c r="M50" s="43"/>
      <c r="N50" s="43"/>
      <c r="O50" s="43"/>
      <c r="P50" s="43"/>
      <c r="Q50" s="43"/>
      <c r="R50" s="43"/>
      <c r="S50" s="43"/>
      <c r="T50" s="43"/>
    </row>
    <row r="51" spans="1:20" x14ac:dyDescent="0.35">
      <c r="A51" s="43"/>
      <c r="B51" s="43"/>
      <c r="C51" s="43"/>
      <c r="D51" s="43"/>
      <c r="E51" s="43"/>
      <c r="F51" s="43"/>
      <c r="G51" s="43"/>
      <c r="H51" s="43"/>
      <c r="I51" s="43"/>
      <c r="J51" s="43"/>
      <c r="K51" s="43"/>
      <c r="L51" s="43"/>
      <c r="M51" s="43"/>
      <c r="N51" s="43"/>
      <c r="O51" s="43"/>
      <c r="P51" s="43"/>
      <c r="Q51" s="43"/>
      <c r="R51" s="43"/>
      <c r="S51" s="43"/>
      <c r="T51" s="43"/>
    </row>
    <row r="52" spans="1:20" x14ac:dyDescent="0.35">
      <c r="A52" s="43"/>
      <c r="B52" s="43"/>
      <c r="C52" s="43"/>
      <c r="D52" s="43"/>
      <c r="E52" s="43"/>
      <c r="F52" s="43"/>
      <c r="G52" s="43"/>
      <c r="H52" s="43"/>
      <c r="I52" s="43"/>
      <c r="J52" s="43"/>
      <c r="K52" s="43"/>
      <c r="L52" s="43"/>
      <c r="M52" s="43"/>
      <c r="N52" s="43"/>
      <c r="O52" s="43"/>
      <c r="P52" s="43"/>
      <c r="Q52" s="43"/>
      <c r="R52" s="43"/>
      <c r="S52" s="43"/>
      <c r="T52" s="43"/>
    </row>
    <row r="53" spans="1:20" x14ac:dyDescent="0.35">
      <c r="A53" s="43"/>
      <c r="B53" s="43"/>
      <c r="C53" s="43"/>
      <c r="D53" s="43"/>
      <c r="E53" s="43"/>
      <c r="F53" s="43"/>
      <c r="G53" s="43"/>
      <c r="H53" s="43"/>
      <c r="I53" s="43"/>
      <c r="J53" s="43"/>
      <c r="K53" s="43"/>
      <c r="L53" s="43"/>
      <c r="M53" s="43"/>
      <c r="N53" s="43"/>
      <c r="O53" s="43"/>
      <c r="P53" s="43"/>
      <c r="Q53" s="43"/>
      <c r="R53" s="43"/>
      <c r="S53" s="43"/>
      <c r="T53" s="43"/>
    </row>
    <row r="54" spans="1:20" x14ac:dyDescent="0.35">
      <c r="A54" s="43"/>
      <c r="B54" s="43"/>
      <c r="C54" s="43"/>
      <c r="D54" s="43"/>
      <c r="E54" s="43"/>
      <c r="F54" s="43"/>
      <c r="G54" s="43"/>
      <c r="H54" s="43"/>
      <c r="I54" s="43"/>
      <c r="J54" s="43"/>
      <c r="K54" s="43"/>
      <c r="L54" s="43"/>
      <c r="M54" s="43"/>
      <c r="N54" s="43"/>
      <c r="O54" s="43"/>
      <c r="P54" s="43"/>
      <c r="Q54" s="43"/>
      <c r="R54" s="43"/>
      <c r="S54" s="43"/>
      <c r="T54" s="43"/>
    </row>
    <row r="55" spans="1:20" x14ac:dyDescent="0.35">
      <c r="A55" s="43"/>
      <c r="B55" s="43"/>
      <c r="C55" s="43"/>
      <c r="D55" s="43"/>
      <c r="E55" s="43"/>
      <c r="F55" s="43"/>
      <c r="G55" s="43"/>
      <c r="H55" s="43"/>
      <c r="I55" s="43"/>
      <c r="J55" s="43"/>
      <c r="K55" s="43"/>
      <c r="L55" s="43"/>
      <c r="M55" s="43"/>
      <c r="N55" s="43"/>
      <c r="O55" s="43"/>
      <c r="P55" s="43"/>
      <c r="Q55" s="43"/>
      <c r="R55" s="43"/>
      <c r="S55" s="43"/>
      <c r="T55" s="43"/>
    </row>
    <row r="56" spans="1:20" x14ac:dyDescent="0.35">
      <c r="A56" s="43"/>
      <c r="B56" s="43"/>
      <c r="C56" s="43"/>
      <c r="D56" s="43"/>
      <c r="E56" s="43"/>
      <c r="F56" s="43"/>
      <c r="G56" s="43"/>
      <c r="H56" s="43"/>
      <c r="I56" s="43"/>
      <c r="J56" s="43"/>
      <c r="K56" s="43"/>
      <c r="L56" s="43"/>
      <c r="M56" s="43"/>
      <c r="N56" s="43"/>
      <c r="O56" s="43"/>
      <c r="P56" s="43"/>
      <c r="Q56" s="43"/>
      <c r="R56" s="43"/>
      <c r="S56" s="43"/>
      <c r="T56" s="43"/>
    </row>
    <row r="57" spans="1:20" x14ac:dyDescent="0.35">
      <c r="A57" s="43"/>
      <c r="B57" s="43"/>
      <c r="C57" s="43"/>
      <c r="D57" s="43"/>
      <c r="E57" s="43"/>
      <c r="F57" s="43"/>
      <c r="G57" s="43"/>
      <c r="H57" s="43"/>
      <c r="I57" s="43"/>
      <c r="J57" s="43"/>
      <c r="K57" s="43"/>
      <c r="L57" s="43"/>
      <c r="M57" s="43"/>
      <c r="N57" s="43"/>
      <c r="O57" s="43"/>
      <c r="P57" s="43"/>
      <c r="Q57" s="43"/>
      <c r="R57" s="43"/>
      <c r="S57" s="43"/>
      <c r="T57" s="43"/>
    </row>
    <row r="58" spans="1:20" x14ac:dyDescent="0.35">
      <c r="A58" s="43"/>
      <c r="B58" s="43"/>
      <c r="C58" s="43"/>
      <c r="D58" s="43"/>
      <c r="E58" s="43"/>
      <c r="F58" s="43"/>
      <c r="G58" s="43"/>
      <c r="H58" s="43"/>
      <c r="I58" s="43"/>
      <c r="J58" s="43"/>
      <c r="K58" s="43"/>
      <c r="L58" s="43"/>
      <c r="M58" s="43"/>
      <c r="N58" s="43"/>
      <c r="O58" s="43"/>
      <c r="P58" s="43"/>
      <c r="Q58" s="43"/>
      <c r="R58" s="43"/>
      <c r="S58" s="43"/>
      <c r="T58" s="43"/>
    </row>
    <row r="59" spans="1:20" x14ac:dyDescent="0.35">
      <c r="A59" s="43"/>
      <c r="B59" s="43"/>
      <c r="C59" s="43"/>
      <c r="D59" s="43"/>
      <c r="E59" s="43"/>
      <c r="F59" s="43"/>
      <c r="G59" s="43"/>
      <c r="H59" s="43"/>
      <c r="I59" s="43"/>
      <c r="J59" s="43"/>
      <c r="K59" s="43"/>
      <c r="L59" s="43"/>
      <c r="M59" s="43"/>
      <c r="N59" s="43"/>
      <c r="O59" s="43"/>
      <c r="P59" s="43"/>
      <c r="Q59" s="43"/>
      <c r="R59" s="43"/>
      <c r="S59" s="43"/>
      <c r="T59" s="43"/>
    </row>
    <row r="60" spans="1:20" x14ac:dyDescent="0.35">
      <c r="A60" s="43"/>
      <c r="B60" s="43"/>
      <c r="C60" s="43"/>
      <c r="D60" s="43"/>
      <c r="E60" s="43"/>
      <c r="F60" s="43"/>
      <c r="G60" s="43"/>
      <c r="H60" s="43"/>
      <c r="I60" s="43"/>
      <c r="J60" s="43"/>
      <c r="K60" s="43"/>
      <c r="L60" s="43"/>
      <c r="M60" s="43"/>
      <c r="N60" s="43"/>
      <c r="O60" s="43"/>
      <c r="P60" s="43"/>
      <c r="Q60" s="43"/>
      <c r="R60" s="43"/>
      <c r="S60" s="43"/>
      <c r="T60" s="43"/>
    </row>
    <row r="61" spans="1:20" x14ac:dyDescent="0.35">
      <c r="A61" s="43"/>
      <c r="B61" s="43"/>
      <c r="C61" s="43"/>
      <c r="D61" s="43"/>
      <c r="E61" s="43"/>
      <c r="F61" s="43"/>
      <c r="G61" s="43"/>
      <c r="H61" s="43"/>
      <c r="I61" s="43"/>
      <c r="J61" s="43"/>
      <c r="K61" s="43"/>
      <c r="L61" s="43"/>
      <c r="M61" s="43"/>
      <c r="N61" s="43"/>
      <c r="O61" s="43"/>
      <c r="P61" s="43"/>
      <c r="Q61" s="43"/>
      <c r="R61" s="43"/>
      <c r="S61" s="43"/>
      <c r="T61" s="43"/>
    </row>
    <row r="62" spans="1:20" x14ac:dyDescent="0.35">
      <c r="A62" s="43"/>
      <c r="B62" s="43"/>
      <c r="C62" s="43"/>
      <c r="D62" s="43"/>
      <c r="E62" s="43"/>
      <c r="F62" s="43"/>
      <c r="G62" s="43"/>
      <c r="H62" s="43"/>
      <c r="I62" s="43"/>
      <c r="J62" s="43"/>
      <c r="K62" s="43"/>
      <c r="L62" s="43"/>
      <c r="M62" s="43"/>
      <c r="N62" s="43"/>
      <c r="O62" s="43"/>
      <c r="P62" s="43"/>
      <c r="Q62" s="43"/>
      <c r="R62" s="43"/>
      <c r="S62" s="43"/>
      <c r="T62" s="43"/>
    </row>
    <row r="63" spans="1:20" x14ac:dyDescent="0.35">
      <c r="A63" s="43"/>
      <c r="B63" s="43"/>
      <c r="C63" s="43"/>
      <c r="D63" s="43"/>
      <c r="E63" s="43"/>
      <c r="F63" s="43"/>
      <c r="G63" s="43"/>
      <c r="H63" s="43"/>
      <c r="I63" s="43"/>
      <c r="J63" s="43"/>
      <c r="K63" s="43"/>
      <c r="L63" s="43"/>
      <c r="M63" s="43"/>
      <c r="N63" s="43"/>
      <c r="O63" s="43"/>
      <c r="P63" s="43"/>
      <c r="Q63" s="43"/>
      <c r="R63" s="43"/>
      <c r="S63" s="43"/>
      <c r="T63" s="43"/>
    </row>
    <row r="64" spans="1:20" x14ac:dyDescent="0.35">
      <c r="A64" s="43"/>
      <c r="B64" s="43"/>
      <c r="C64" s="43"/>
      <c r="D64" s="43"/>
      <c r="E64" s="43"/>
      <c r="F64" s="43"/>
      <c r="G64" s="43"/>
      <c r="H64" s="43"/>
      <c r="I64" s="43"/>
      <c r="J64" s="43"/>
      <c r="K64" s="43"/>
      <c r="L64" s="43"/>
      <c r="M64" s="43"/>
      <c r="N64" s="43"/>
      <c r="O64" s="43"/>
      <c r="P64" s="43"/>
      <c r="Q64" s="43"/>
      <c r="R64" s="43"/>
      <c r="S64" s="43"/>
      <c r="T64" s="43"/>
    </row>
    <row r="65" spans="1:20" x14ac:dyDescent="0.35">
      <c r="A65" s="43"/>
      <c r="B65" s="43"/>
      <c r="C65" s="43"/>
      <c r="D65" s="43"/>
      <c r="E65" s="43"/>
      <c r="F65" s="43"/>
      <c r="G65" s="43"/>
      <c r="H65" s="43"/>
      <c r="I65" s="43"/>
      <c r="J65" s="43"/>
      <c r="K65" s="43"/>
      <c r="L65" s="43"/>
      <c r="M65" s="43"/>
      <c r="N65" s="43"/>
      <c r="O65" s="43"/>
      <c r="P65" s="43"/>
      <c r="Q65" s="43"/>
      <c r="R65" s="43"/>
      <c r="S65" s="43"/>
      <c r="T65" s="43"/>
    </row>
    <row r="66" spans="1:20" x14ac:dyDescent="0.35">
      <c r="A66" s="43"/>
      <c r="B66" s="43"/>
      <c r="C66" s="43"/>
      <c r="D66" s="43"/>
      <c r="E66" s="43"/>
      <c r="F66" s="43"/>
      <c r="G66" s="43"/>
      <c r="H66" s="43"/>
      <c r="I66" s="43"/>
      <c r="J66" s="43"/>
      <c r="K66" s="43"/>
      <c r="L66" s="43"/>
      <c r="M66" s="43"/>
      <c r="N66" s="43"/>
      <c r="O66" s="43"/>
      <c r="P66" s="43"/>
      <c r="Q66" s="43"/>
      <c r="R66" s="43"/>
      <c r="S66" s="43"/>
      <c r="T66" s="43"/>
    </row>
    <row r="67" spans="1:20" x14ac:dyDescent="0.35">
      <c r="A67" s="43"/>
      <c r="B67" s="43"/>
      <c r="C67" s="43"/>
      <c r="D67" s="43"/>
      <c r="E67" s="43"/>
      <c r="F67" s="43"/>
      <c r="G67" s="43"/>
      <c r="H67" s="43"/>
      <c r="I67" s="43"/>
      <c r="J67" s="43"/>
      <c r="K67" s="43"/>
      <c r="L67" s="43"/>
      <c r="M67" s="43"/>
      <c r="N67" s="43"/>
      <c r="O67" s="43"/>
      <c r="P67" s="43"/>
      <c r="Q67" s="43"/>
      <c r="R67" s="43"/>
      <c r="S67" s="43"/>
      <c r="T67" s="43"/>
    </row>
    <row r="68" spans="1:20" x14ac:dyDescent="0.35">
      <c r="A68" s="43"/>
      <c r="B68" s="43"/>
      <c r="C68" s="43"/>
      <c r="D68" s="43"/>
      <c r="E68" s="43"/>
      <c r="F68" s="43"/>
      <c r="G68" s="43"/>
      <c r="H68" s="43"/>
      <c r="I68" s="43"/>
      <c r="J68" s="43"/>
      <c r="K68" s="43"/>
      <c r="L68" s="43"/>
      <c r="M68" s="43"/>
      <c r="N68" s="43"/>
      <c r="O68" s="43"/>
      <c r="P68" s="43"/>
      <c r="Q68" s="43"/>
      <c r="R68" s="43"/>
      <c r="S68" s="43"/>
      <c r="T68" s="43"/>
    </row>
    <row r="69" spans="1:20" x14ac:dyDescent="0.35">
      <c r="A69" s="43"/>
      <c r="B69" s="43"/>
      <c r="C69" s="43"/>
      <c r="D69" s="43"/>
      <c r="E69" s="43"/>
      <c r="F69" s="43"/>
      <c r="G69" s="43"/>
      <c r="H69" s="43"/>
      <c r="I69" s="43"/>
      <c r="J69" s="43"/>
      <c r="K69" s="43"/>
      <c r="L69" s="43"/>
      <c r="M69" s="43"/>
      <c r="N69" s="43"/>
      <c r="O69" s="43"/>
      <c r="P69" s="43"/>
      <c r="Q69" s="43"/>
      <c r="R69" s="43"/>
      <c r="S69" s="43"/>
      <c r="T69" s="43"/>
    </row>
    <row r="70" spans="1:20" x14ac:dyDescent="0.35">
      <c r="A70" s="43"/>
      <c r="B70" s="43"/>
      <c r="C70" s="43"/>
      <c r="D70" s="43"/>
      <c r="E70" s="43"/>
      <c r="F70" s="43"/>
      <c r="G70" s="43"/>
      <c r="H70" s="43"/>
      <c r="I70" s="43"/>
      <c r="J70" s="43"/>
      <c r="K70" s="43"/>
      <c r="L70" s="43"/>
      <c r="M70" s="43"/>
      <c r="N70" s="43"/>
      <c r="O70" s="43"/>
      <c r="P70" s="43"/>
      <c r="Q70" s="43"/>
      <c r="R70" s="43"/>
      <c r="S70" s="43"/>
      <c r="T70" s="43"/>
    </row>
    <row r="71" spans="1:20" x14ac:dyDescent="0.35">
      <c r="A71" s="43"/>
      <c r="B71" s="43"/>
      <c r="C71" s="43"/>
      <c r="D71" s="43"/>
      <c r="E71" s="43"/>
      <c r="F71" s="43"/>
      <c r="G71" s="43"/>
      <c r="H71" s="43"/>
      <c r="I71" s="43"/>
      <c r="J71" s="43"/>
      <c r="K71" s="43"/>
      <c r="L71" s="43"/>
      <c r="M71" s="43"/>
      <c r="N71" s="43"/>
      <c r="O71" s="43"/>
      <c r="P71" s="43"/>
      <c r="Q71" s="43"/>
      <c r="R71" s="43"/>
      <c r="S71" s="43"/>
      <c r="T71" s="43"/>
    </row>
    <row r="72" spans="1:20" x14ac:dyDescent="0.35">
      <c r="A72" s="43"/>
      <c r="B72" s="43"/>
      <c r="C72" s="43"/>
      <c r="D72" s="43"/>
      <c r="E72" s="43"/>
      <c r="F72" s="43"/>
      <c r="G72" s="43"/>
      <c r="H72" s="43"/>
      <c r="I72" s="43"/>
      <c r="J72" s="43"/>
      <c r="K72" s="43"/>
      <c r="L72" s="43"/>
      <c r="M72" s="43"/>
      <c r="N72" s="43"/>
      <c r="O72" s="43"/>
      <c r="P72" s="43"/>
      <c r="Q72" s="43"/>
      <c r="R72" s="43"/>
      <c r="S72" s="43"/>
      <c r="T72" s="43"/>
    </row>
    <row r="73" spans="1:20" x14ac:dyDescent="0.35">
      <c r="A73" s="43"/>
      <c r="B73" s="43"/>
      <c r="C73" s="43"/>
      <c r="D73" s="43"/>
      <c r="E73" s="43"/>
      <c r="F73" s="43"/>
      <c r="G73" s="43"/>
      <c r="H73" s="43"/>
      <c r="I73" s="43"/>
      <c r="J73" s="43"/>
      <c r="K73" s="43"/>
      <c r="L73" s="43"/>
      <c r="M73" s="43"/>
      <c r="N73" s="43"/>
      <c r="O73" s="43"/>
      <c r="P73" s="43"/>
      <c r="Q73" s="43"/>
      <c r="R73" s="43"/>
      <c r="S73" s="43"/>
      <c r="T73" s="43"/>
    </row>
    <row r="74" spans="1:20" x14ac:dyDescent="0.35">
      <c r="A74" s="43"/>
      <c r="B74" s="43"/>
      <c r="C74" s="43"/>
      <c r="D74" s="43"/>
      <c r="E74" s="43"/>
      <c r="F74" s="43"/>
      <c r="G74" s="43"/>
      <c r="H74" s="43"/>
      <c r="I74" s="43"/>
      <c r="J74" s="43"/>
      <c r="K74" s="43"/>
      <c r="L74" s="43"/>
      <c r="M74" s="43"/>
      <c r="N74" s="43"/>
      <c r="O74" s="43"/>
      <c r="P74" s="43"/>
      <c r="Q74" s="43"/>
      <c r="R74" s="43"/>
      <c r="S74" s="43"/>
      <c r="T74" s="43"/>
    </row>
    <row r="75" spans="1:20" x14ac:dyDescent="0.35">
      <c r="A75" s="43"/>
      <c r="B75" s="43"/>
      <c r="C75" s="43"/>
      <c r="D75" s="43"/>
      <c r="E75" s="43"/>
      <c r="F75" s="43"/>
      <c r="G75" s="43"/>
      <c r="H75" s="43"/>
      <c r="I75" s="43"/>
      <c r="J75" s="43"/>
      <c r="K75" s="43"/>
      <c r="L75" s="43"/>
      <c r="M75" s="43"/>
      <c r="N75" s="43"/>
      <c r="O75" s="43"/>
      <c r="P75" s="43"/>
      <c r="Q75" s="43"/>
      <c r="R75" s="43"/>
      <c r="S75" s="43"/>
      <c r="T75" s="43"/>
    </row>
    <row r="76" spans="1:20" x14ac:dyDescent="0.35">
      <c r="A76" s="43"/>
      <c r="B76" s="43"/>
      <c r="C76" s="43"/>
      <c r="D76" s="43"/>
      <c r="E76" s="43"/>
      <c r="F76" s="43"/>
      <c r="G76" s="43"/>
      <c r="H76" s="43"/>
      <c r="I76" s="43"/>
      <c r="J76" s="43"/>
      <c r="K76" s="43"/>
      <c r="L76" s="43"/>
      <c r="M76" s="43"/>
      <c r="N76" s="43"/>
      <c r="O76" s="43"/>
      <c r="P76" s="43"/>
      <c r="Q76" s="43"/>
      <c r="R76" s="43"/>
      <c r="S76" s="43"/>
      <c r="T76" s="43"/>
    </row>
    <row r="77" spans="1:20" x14ac:dyDescent="0.35">
      <c r="A77" s="43"/>
      <c r="B77" s="43"/>
      <c r="C77" s="43"/>
      <c r="D77" s="43"/>
      <c r="E77" s="43"/>
      <c r="F77" s="43"/>
      <c r="G77" s="43"/>
      <c r="H77" s="43"/>
      <c r="I77" s="43"/>
      <c r="J77" s="43"/>
      <c r="K77" s="43"/>
      <c r="L77" s="43"/>
      <c r="M77" s="43"/>
      <c r="N77" s="43"/>
      <c r="O77" s="43"/>
      <c r="P77" s="43"/>
      <c r="Q77" s="43"/>
      <c r="R77" s="43"/>
      <c r="S77" s="43"/>
      <c r="T77" s="43"/>
    </row>
    <row r="78" spans="1:20" x14ac:dyDescent="0.35">
      <c r="A78" s="43"/>
      <c r="B78" s="43"/>
      <c r="C78" s="43"/>
      <c r="D78" s="43"/>
      <c r="E78" s="43"/>
      <c r="F78" s="43"/>
      <c r="G78" s="43"/>
      <c r="H78" s="43"/>
      <c r="I78" s="43"/>
      <c r="J78" s="43"/>
      <c r="K78" s="43"/>
      <c r="L78" s="43"/>
      <c r="M78" s="43"/>
      <c r="N78" s="43"/>
      <c r="O78" s="43"/>
      <c r="P78" s="43"/>
      <c r="Q78" s="43"/>
      <c r="R78" s="43"/>
      <c r="S78" s="43"/>
      <c r="T78" s="43"/>
    </row>
    <row r="79" spans="1:20" x14ac:dyDescent="0.35">
      <c r="A79" s="43"/>
      <c r="B79" s="43"/>
      <c r="C79" s="43"/>
      <c r="D79" s="43"/>
      <c r="E79" s="43"/>
      <c r="F79" s="43"/>
      <c r="G79" s="43"/>
      <c r="H79" s="43"/>
      <c r="I79" s="43"/>
      <c r="J79" s="43"/>
      <c r="K79" s="43"/>
      <c r="L79" s="43"/>
      <c r="M79" s="43"/>
      <c r="N79" s="43"/>
      <c r="O79" s="43"/>
      <c r="P79" s="43"/>
      <c r="Q79" s="43"/>
      <c r="R79" s="43"/>
      <c r="S79" s="43"/>
      <c r="T79" s="43"/>
    </row>
    <row r="80" spans="1:20" x14ac:dyDescent="0.35">
      <c r="A80" s="43"/>
      <c r="B80" s="43"/>
      <c r="C80" s="43"/>
      <c r="D80" s="43"/>
      <c r="E80" s="43"/>
      <c r="F80" s="43"/>
      <c r="G80" s="43"/>
      <c r="H80" s="43"/>
      <c r="I80" s="43"/>
      <c r="J80" s="43"/>
      <c r="K80" s="43"/>
      <c r="L80" s="43"/>
      <c r="M80" s="43"/>
      <c r="N80" s="43"/>
      <c r="O80" s="43"/>
      <c r="P80" s="43"/>
      <c r="Q80" s="43"/>
      <c r="R80" s="43"/>
      <c r="S80" s="43"/>
      <c r="T80" s="43"/>
    </row>
    <row r="81" spans="1:20" x14ac:dyDescent="0.35">
      <c r="A81" s="43"/>
      <c r="B81" s="43"/>
      <c r="C81" s="43"/>
      <c r="D81" s="43"/>
      <c r="E81" s="43"/>
      <c r="F81" s="43"/>
      <c r="G81" s="43"/>
      <c r="H81" s="43"/>
      <c r="I81" s="43"/>
      <c r="J81" s="43"/>
      <c r="K81" s="43"/>
      <c r="L81" s="43"/>
      <c r="M81" s="43"/>
      <c r="N81" s="43"/>
      <c r="O81" s="43"/>
      <c r="P81" s="43"/>
      <c r="Q81" s="43"/>
      <c r="R81" s="43"/>
      <c r="S81" s="43"/>
      <c r="T81" s="43"/>
    </row>
    <row r="82" spans="1:20" x14ac:dyDescent="0.35">
      <c r="A82" s="43"/>
      <c r="B82" s="43"/>
      <c r="C82" s="43"/>
      <c r="D82" s="43"/>
      <c r="E82" s="43"/>
      <c r="F82" s="43"/>
      <c r="G82" s="43"/>
      <c r="H82" s="43"/>
      <c r="I82" s="43"/>
      <c r="J82" s="43"/>
      <c r="K82" s="43"/>
      <c r="L82" s="43"/>
      <c r="M82" s="43"/>
      <c r="N82" s="43"/>
      <c r="O82" s="43"/>
      <c r="P82" s="43"/>
      <c r="Q82" s="43"/>
      <c r="R82" s="43"/>
      <c r="S82" s="43"/>
      <c r="T82" s="43"/>
    </row>
    <row r="83" spans="1:20" x14ac:dyDescent="0.35">
      <c r="A83" s="43"/>
      <c r="B83" s="43"/>
      <c r="C83" s="43"/>
      <c r="D83" s="43"/>
      <c r="E83" s="43"/>
      <c r="F83" s="43"/>
      <c r="G83" s="43"/>
      <c r="H83" s="43"/>
      <c r="I83" s="43"/>
      <c r="J83" s="43"/>
      <c r="K83" s="43"/>
      <c r="L83" s="43"/>
      <c r="M83" s="43"/>
      <c r="N83" s="43"/>
      <c r="O83" s="43"/>
      <c r="P83" s="43"/>
      <c r="Q83" s="43"/>
      <c r="R83" s="43"/>
      <c r="S83" s="43"/>
      <c r="T83" s="43"/>
    </row>
    <row r="84" spans="1:20" x14ac:dyDescent="0.35">
      <c r="A84" s="43"/>
      <c r="B84" s="43"/>
      <c r="C84" s="43"/>
      <c r="D84" s="43"/>
      <c r="E84" s="43"/>
      <c r="F84" s="43"/>
      <c r="G84" s="43"/>
      <c r="H84" s="43"/>
      <c r="I84" s="43"/>
      <c r="J84" s="43"/>
      <c r="K84" s="43"/>
      <c r="L84" s="43"/>
      <c r="M84" s="43"/>
      <c r="N84" s="43"/>
      <c r="O84" s="43"/>
      <c r="P84" s="43"/>
      <c r="Q84" s="43"/>
      <c r="R84" s="43"/>
      <c r="S84" s="43"/>
      <c r="T84" s="43"/>
    </row>
    <row r="85" spans="1:20" x14ac:dyDescent="0.35">
      <c r="A85" s="43"/>
      <c r="B85" s="43"/>
      <c r="C85" s="43"/>
      <c r="D85" s="43"/>
      <c r="E85" s="43"/>
      <c r="F85" s="43"/>
      <c r="G85" s="43"/>
      <c r="H85" s="43"/>
      <c r="I85" s="43"/>
      <c r="J85" s="43"/>
      <c r="K85" s="43"/>
      <c r="L85" s="43"/>
      <c r="M85" s="43"/>
      <c r="N85" s="43"/>
      <c r="O85" s="43"/>
      <c r="P85" s="43"/>
      <c r="Q85" s="43"/>
      <c r="R85" s="43"/>
      <c r="S85" s="43"/>
      <c r="T85" s="43"/>
    </row>
    <row r="86" spans="1:20" x14ac:dyDescent="0.35">
      <c r="A86" s="43"/>
      <c r="B86" s="43"/>
      <c r="C86" s="43"/>
      <c r="D86" s="43"/>
      <c r="E86" s="43"/>
      <c r="F86" s="43"/>
      <c r="G86" s="43"/>
      <c r="H86" s="43"/>
      <c r="I86" s="43"/>
      <c r="J86" s="43"/>
      <c r="K86" s="43"/>
      <c r="L86" s="43"/>
      <c r="M86" s="43"/>
      <c r="N86" s="43"/>
      <c r="O86" s="43"/>
      <c r="P86" s="43"/>
      <c r="Q86" s="43"/>
      <c r="R86" s="43"/>
      <c r="S86" s="43"/>
      <c r="T86" s="43"/>
    </row>
    <row r="87" spans="1:20" x14ac:dyDescent="0.35">
      <c r="A87" s="43"/>
      <c r="B87" s="43"/>
      <c r="C87" s="43"/>
      <c r="D87" s="43"/>
      <c r="E87" s="43"/>
      <c r="F87" s="43"/>
      <c r="G87" s="43"/>
      <c r="H87" s="43"/>
      <c r="I87" s="43"/>
      <c r="J87" s="43"/>
      <c r="K87" s="43"/>
      <c r="L87" s="43"/>
      <c r="M87" s="43"/>
      <c r="N87" s="43"/>
      <c r="O87" s="43"/>
      <c r="P87" s="43"/>
      <c r="Q87" s="43"/>
      <c r="R87" s="43"/>
      <c r="S87" s="43"/>
      <c r="T87" s="43"/>
    </row>
    <row r="88" spans="1:20" x14ac:dyDescent="0.35">
      <c r="A88" s="43"/>
      <c r="B88" s="43"/>
      <c r="C88" s="43"/>
      <c r="D88" s="43"/>
      <c r="E88" s="43"/>
      <c r="F88" s="43"/>
      <c r="G88" s="43"/>
      <c r="H88" s="43"/>
      <c r="I88" s="43"/>
      <c r="J88" s="43"/>
      <c r="K88" s="43"/>
      <c r="L88" s="43"/>
      <c r="M88" s="43"/>
      <c r="N88" s="43"/>
      <c r="O88" s="43"/>
      <c r="P88" s="43"/>
      <c r="Q88" s="43"/>
      <c r="R88" s="43"/>
      <c r="S88" s="43"/>
      <c r="T88" s="43"/>
    </row>
    <row r="89" spans="1:20" x14ac:dyDescent="0.35">
      <c r="A89" s="43"/>
      <c r="B89" s="43"/>
      <c r="C89" s="43"/>
      <c r="D89" s="43"/>
      <c r="E89" s="43"/>
      <c r="F89" s="43"/>
      <c r="G89" s="43"/>
      <c r="H89" s="43"/>
      <c r="I89" s="43"/>
      <c r="J89" s="43"/>
      <c r="K89" s="43"/>
      <c r="L89" s="43"/>
      <c r="M89" s="43"/>
      <c r="N89" s="43"/>
      <c r="O89" s="43"/>
      <c r="P89" s="43"/>
      <c r="Q89" s="43"/>
      <c r="R89" s="43"/>
      <c r="S89" s="43"/>
      <c r="T89" s="43"/>
    </row>
    <row r="90" spans="1:20" x14ac:dyDescent="0.35">
      <c r="A90" s="43"/>
      <c r="B90" s="43"/>
      <c r="C90" s="43"/>
      <c r="D90" s="43"/>
      <c r="E90" s="43"/>
      <c r="F90" s="43"/>
      <c r="G90" s="43"/>
      <c r="H90" s="43"/>
      <c r="I90" s="43"/>
      <c r="J90" s="43"/>
      <c r="K90" s="43"/>
      <c r="L90" s="43"/>
      <c r="M90" s="43"/>
      <c r="N90" s="43"/>
      <c r="O90" s="43"/>
      <c r="P90" s="43"/>
      <c r="Q90" s="43"/>
      <c r="R90" s="43"/>
      <c r="S90" s="43"/>
      <c r="T90" s="43"/>
    </row>
    <row r="91" spans="1:20" x14ac:dyDescent="0.35">
      <c r="A91" s="43"/>
      <c r="B91" s="43"/>
      <c r="C91" s="43"/>
      <c r="D91" s="43"/>
      <c r="E91" s="43"/>
      <c r="F91" s="43"/>
      <c r="G91" s="43"/>
      <c r="H91" s="43"/>
      <c r="I91" s="43"/>
      <c r="J91" s="43"/>
      <c r="K91" s="43"/>
      <c r="L91" s="43"/>
      <c r="M91" s="43"/>
      <c r="N91" s="43"/>
      <c r="O91" s="43"/>
      <c r="P91" s="43"/>
      <c r="Q91" s="43"/>
      <c r="R91" s="43"/>
      <c r="S91" s="43"/>
      <c r="T91" s="43"/>
    </row>
    <row r="92" spans="1:20" x14ac:dyDescent="0.35">
      <c r="A92" s="43"/>
      <c r="B92" s="43"/>
      <c r="C92" s="43"/>
      <c r="D92" s="43"/>
      <c r="E92" s="43"/>
      <c r="F92" s="43"/>
      <c r="G92" s="43"/>
      <c r="H92" s="43"/>
      <c r="I92" s="43"/>
      <c r="J92" s="43"/>
      <c r="K92" s="43"/>
      <c r="L92" s="43"/>
      <c r="M92" s="43"/>
      <c r="N92" s="43"/>
      <c r="O92" s="43"/>
      <c r="P92" s="43"/>
      <c r="Q92" s="43"/>
      <c r="R92" s="43"/>
      <c r="S92" s="43"/>
      <c r="T92" s="43"/>
    </row>
    <row r="93" spans="1:20" x14ac:dyDescent="0.35">
      <c r="A93" s="43"/>
      <c r="B93" s="43"/>
      <c r="C93" s="43"/>
      <c r="D93" s="43"/>
      <c r="E93" s="43"/>
      <c r="F93" s="43"/>
      <c r="G93" s="43"/>
      <c r="H93" s="43"/>
      <c r="I93" s="43"/>
      <c r="J93" s="43"/>
      <c r="K93" s="43"/>
      <c r="L93" s="43"/>
      <c r="M93" s="43"/>
      <c r="N93" s="43"/>
      <c r="O93" s="43"/>
      <c r="P93" s="43"/>
      <c r="Q93" s="43"/>
      <c r="R93" s="43"/>
      <c r="S93" s="43"/>
      <c r="T93" s="43"/>
    </row>
    <row r="94" spans="1:20" x14ac:dyDescent="0.35">
      <c r="A94" s="43"/>
      <c r="B94" s="43"/>
      <c r="C94" s="43"/>
      <c r="D94" s="43"/>
      <c r="E94" s="43"/>
      <c r="F94" s="43"/>
      <c r="G94" s="43"/>
      <c r="H94" s="43"/>
      <c r="I94" s="43"/>
      <c r="J94" s="43"/>
      <c r="K94" s="43"/>
      <c r="L94" s="43"/>
      <c r="M94" s="43"/>
      <c r="N94" s="43"/>
      <c r="O94" s="43"/>
      <c r="P94" s="43"/>
      <c r="Q94" s="43"/>
      <c r="R94" s="43"/>
      <c r="S94" s="43"/>
      <c r="T94" s="43"/>
    </row>
    <row r="95" spans="1:20" x14ac:dyDescent="0.35">
      <c r="A95" s="43"/>
      <c r="B95" s="43"/>
      <c r="C95" s="43"/>
      <c r="D95" s="43"/>
      <c r="E95" s="43"/>
      <c r="F95" s="43"/>
      <c r="G95" s="43"/>
      <c r="H95" s="43"/>
      <c r="I95" s="43"/>
      <c r="J95" s="43"/>
      <c r="K95" s="43"/>
      <c r="L95" s="43"/>
      <c r="M95" s="43"/>
      <c r="N95" s="43"/>
      <c r="O95" s="43"/>
      <c r="P95" s="43"/>
      <c r="Q95" s="43"/>
      <c r="R95" s="43"/>
      <c r="S95" s="43"/>
      <c r="T95" s="43"/>
    </row>
    <row r="96" spans="1:20" x14ac:dyDescent="0.35">
      <c r="A96" s="43"/>
      <c r="B96" s="43"/>
      <c r="C96" s="43"/>
      <c r="D96" s="43"/>
      <c r="E96" s="43"/>
      <c r="F96" s="43"/>
      <c r="G96" s="43"/>
      <c r="H96" s="43"/>
      <c r="I96" s="43"/>
      <c r="J96" s="43"/>
      <c r="K96" s="43"/>
      <c r="L96" s="43"/>
      <c r="M96" s="43"/>
      <c r="N96" s="43"/>
      <c r="O96" s="43"/>
      <c r="P96" s="43"/>
      <c r="Q96" s="43"/>
      <c r="R96" s="43"/>
      <c r="S96" s="43"/>
      <c r="T96" s="43"/>
    </row>
    <row r="97" spans="1:20" x14ac:dyDescent="0.35">
      <c r="A97" s="43"/>
      <c r="B97" s="43"/>
      <c r="C97" s="43"/>
      <c r="D97" s="43"/>
      <c r="E97" s="43"/>
      <c r="F97" s="43"/>
      <c r="G97" s="43"/>
      <c r="H97" s="43"/>
      <c r="I97" s="43"/>
      <c r="J97" s="43"/>
      <c r="K97" s="43"/>
      <c r="L97" s="43"/>
      <c r="M97" s="43"/>
      <c r="N97" s="43"/>
      <c r="O97" s="43"/>
      <c r="P97" s="43"/>
      <c r="Q97" s="43"/>
      <c r="R97" s="43"/>
      <c r="S97" s="43"/>
      <c r="T97" s="43"/>
    </row>
    <row r="98" spans="1:20" x14ac:dyDescent="0.35">
      <c r="A98" s="43"/>
      <c r="B98" s="43"/>
      <c r="C98" s="43"/>
      <c r="D98" s="43"/>
      <c r="E98" s="43"/>
      <c r="F98" s="43"/>
      <c r="G98" s="43"/>
      <c r="H98" s="43"/>
      <c r="I98" s="43"/>
      <c r="J98" s="43"/>
      <c r="K98" s="43"/>
      <c r="L98" s="43"/>
      <c r="M98" s="43"/>
      <c r="N98" s="43"/>
      <c r="O98" s="43"/>
      <c r="P98" s="43"/>
      <c r="Q98" s="43"/>
      <c r="R98" s="43"/>
      <c r="S98" s="43"/>
      <c r="T98" s="43"/>
    </row>
    <row r="99" spans="1:20" x14ac:dyDescent="0.35">
      <c r="A99" s="43"/>
      <c r="B99" s="43"/>
      <c r="C99" s="43"/>
      <c r="D99" s="43"/>
      <c r="E99" s="43"/>
      <c r="F99" s="43"/>
      <c r="G99" s="43"/>
      <c r="H99" s="43"/>
      <c r="I99" s="43"/>
      <c r="J99" s="43"/>
      <c r="K99" s="43"/>
      <c r="L99" s="43"/>
      <c r="M99" s="43"/>
      <c r="N99" s="43"/>
      <c r="O99" s="43"/>
      <c r="P99" s="43"/>
      <c r="Q99" s="43"/>
      <c r="R99" s="43"/>
      <c r="S99" s="43"/>
      <c r="T99" s="43"/>
    </row>
    <row r="100" spans="1:20" x14ac:dyDescent="0.35">
      <c r="A100" s="43"/>
      <c r="B100" s="43"/>
      <c r="C100" s="43"/>
      <c r="D100" s="43"/>
      <c r="E100" s="43"/>
      <c r="F100" s="43"/>
      <c r="G100" s="43"/>
      <c r="H100" s="43"/>
      <c r="I100" s="43"/>
      <c r="J100" s="43"/>
      <c r="K100" s="43"/>
      <c r="L100" s="43"/>
      <c r="M100" s="43"/>
      <c r="N100" s="43"/>
      <c r="O100" s="43"/>
      <c r="P100" s="43"/>
      <c r="Q100" s="43"/>
      <c r="R100" s="43"/>
      <c r="S100" s="43"/>
      <c r="T100" s="43"/>
    </row>
    <row r="101" spans="1:20" x14ac:dyDescent="0.35">
      <c r="A101" s="43"/>
      <c r="B101" s="43"/>
      <c r="C101" s="43"/>
      <c r="D101" s="43"/>
      <c r="E101" s="43"/>
      <c r="F101" s="43"/>
      <c r="G101" s="43"/>
      <c r="H101" s="43"/>
      <c r="I101" s="43"/>
      <c r="J101" s="43"/>
      <c r="K101" s="43"/>
      <c r="L101" s="43"/>
      <c r="M101" s="43"/>
      <c r="N101" s="43"/>
      <c r="O101" s="43"/>
      <c r="P101" s="43"/>
      <c r="Q101" s="43"/>
      <c r="R101" s="43"/>
      <c r="S101" s="43"/>
      <c r="T101" s="43"/>
    </row>
    <row r="102" spans="1:20" x14ac:dyDescent="0.35">
      <c r="A102" s="43"/>
      <c r="B102" s="43"/>
      <c r="C102" s="43"/>
      <c r="D102" s="43"/>
      <c r="E102" s="43"/>
      <c r="F102" s="43"/>
      <c r="G102" s="43"/>
      <c r="H102" s="43"/>
      <c r="I102" s="43"/>
      <c r="J102" s="43"/>
      <c r="K102" s="43"/>
      <c r="L102" s="43"/>
      <c r="M102" s="43"/>
      <c r="N102" s="43"/>
      <c r="O102" s="43"/>
      <c r="P102" s="43"/>
      <c r="Q102" s="43"/>
      <c r="R102" s="43"/>
      <c r="S102" s="43"/>
      <c r="T102" s="43"/>
    </row>
    <row r="103" spans="1:20" x14ac:dyDescent="0.35">
      <c r="A103" s="43"/>
      <c r="B103" s="43"/>
      <c r="C103" s="43"/>
      <c r="D103" s="43"/>
      <c r="E103" s="43"/>
      <c r="F103" s="43"/>
      <c r="G103" s="43"/>
      <c r="H103" s="43"/>
      <c r="I103" s="43"/>
      <c r="J103" s="43"/>
      <c r="K103" s="43"/>
      <c r="L103" s="43"/>
      <c r="M103" s="43"/>
      <c r="N103" s="43"/>
      <c r="O103" s="43"/>
      <c r="P103" s="43"/>
      <c r="Q103" s="43"/>
      <c r="R103" s="43"/>
      <c r="S103" s="43"/>
      <c r="T103" s="43"/>
    </row>
    <row r="104" spans="1:20" x14ac:dyDescent="0.35">
      <c r="A104" s="43"/>
      <c r="B104" s="43"/>
      <c r="C104" s="43"/>
      <c r="D104" s="43"/>
      <c r="E104" s="43"/>
      <c r="F104" s="43"/>
      <c r="G104" s="43"/>
      <c r="H104" s="43"/>
      <c r="I104" s="43"/>
      <c r="J104" s="43"/>
      <c r="K104" s="43"/>
      <c r="L104" s="43"/>
      <c r="M104" s="43"/>
      <c r="N104" s="43"/>
      <c r="O104" s="43"/>
      <c r="P104" s="43"/>
      <c r="Q104" s="43"/>
      <c r="R104" s="43"/>
      <c r="S104" s="43"/>
      <c r="T104" s="43"/>
    </row>
    <row r="105" spans="1:20" x14ac:dyDescent="0.35">
      <c r="A105" s="43"/>
      <c r="B105" s="43"/>
      <c r="C105" s="43"/>
      <c r="D105" s="43"/>
      <c r="E105" s="43"/>
      <c r="F105" s="43"/>
      <c r="G105" s="43"/>
      <c r="H105" s="43"/>
      <c r="I105" s="43"/>
      <c r="J105" s="43"/>
      <c r="K105" s="43"/>
      <c r="L105" s="43"/>
      <c r="M105" s="43"/>
      <c r="N105" s="43"/>
      <c r="O105" s="43"/>
      <c r="P105" s="43"/>
      <c r="Q105" s="43"/>
      <c r="R105" s="43"/>
      <c r="S105" s="43"/>
      <c r="T105" s="43"/>
    </row>
    <row r="106" spans="1:20" x14ac:dyDescent="0.35">
      <c r="A106" s="43"/>
      <c r="B106" s="43"/>
      <c r="C106" s="43"/>
      <c r="D106" s="43"/>
      <c r="E106" s="43"/>
      <c r="F106" s="43"/>
      <c r="G106" s="43"/>
      <c r="H106" s="43"/>
      <c r="I106" s="43"/>
      <c r="J106" s="43"/>
      <c r="K106" s="43"/>
      <c r="L106" s="43"/>
      <c r="M106" s="43"/>
      <c r="N106" s="43"/>
      <c r="O106" s="43"/>
      <c r="P106" s="43"/>
      <c r="Q106" s="43"/>
      <c r="R106" s="43"/>
      <c r="S106" s="43"/>
      <c r="T106" s="43"/>
    </row>
    <row r="107" spans="1:20" x14ac:dyDescent="0.35">
      <c r="A107" s="43"/>
      <c r="B107" s="43"/>
      <c r="C107" s="43"/>
      <c r="D107" s="43"/>
      <c r="E107" s="43"/>
      <c r="F107" s="43"/>
      <c r="G107" s="43"/>
      <c r="H107" s="43"/>
      <c r="I107" s="43"/>
      <c r="J107" s="43"/>
      <c r="K107" s="43"/>
      <c r="L107" s="43"/>
      <c r="M107" s="43"/>
      <c r="N107" s="43"/>
      <c r="O107" s="43"/>
      <c r="P107" s="43"/>
      <c r="Q107" s="43"/>
      <c r="R107" s="43"/>
      <c r="S107" s="43"/>
      <c r="T107" s="43"/>
    </row>
    <row r="108" spans="1:20" x14ac:dyDescent="0.35">
      <c r="A108" s="43"/>
      <c r="B108" s="43"/>
      <c r="C108" s="43"/>
      <c r="D108" s="43"/>
      <c r="E108" s="43"/>
      <c r="F108" s="43"/>
      <c r="G108" s="43"/>
      <c r="H108" s="43"/>
      <c r="I108" s="43"/>
      <c r="J108" s="43"/>
      <c r="K108" s="43"/>
      <c r="L108" s="43"/>
      <c r="M108" s="43"/>
      <c r="N108" s="43"/>
      <c r="O108" s="43"/>
      <c r="P108" s="43"/>
      <c r="Q108" s="43"/>
      <c r="R108" s="43"/>
      <c r="S108" s="43"/>
      <c r="T108" s="43"/>
    </row>
    <row r="109" spans="1:20" x14ac:dyDescent="0.35">
      <c r="A109" s="43"/>
      <c r="B109" s="43"/>
      <c r="C109" s="43"/>
      <c r="D109" s="43"/>
      <c r="E109" s="43"/>
      <c r="F109" s="43"/>
      <c r="G109" s="43"/>
      <c r="H109" s="43"/>
      <c r="I109" s="43"/>
      <c r="J109" s="43"/>
      <c r="K109" s="43"/>
      <c r="L109" s="43"/>
      <c r="M109" s="43"/>
      <c r="N109" s="43"/>
      <c r="O109" s="43"/>
      <c r="P109" s="43"/>
      <c r="Q109" s="43"/>
      <c r="R109" s="43"/>
      <c r="S109" s="43"/>
      <c r="T109" s="43"/>
    </row>
    <row r="110" spans="1:20" x14ac:dyDescent="0.35">
      <c r="A110" s="43"/>
      <c r="B110" s="43"/>
      <c r="C110" s="43"/>
      <c r="D110" s="43"/>
      <c r="E110" s="43"/>
      <c r="F110" s="43"/>
      <c r="G110" s="43"/>
      <c r="H110" s="43"/>
      <c r="I110" s="43"/>
      <c r="J110" s="43"/>
      <c r="K110" s="43"/>
      <c r="L110" s="43"/>
      <c r="M110" s="43"/>
      <c r="N110" s="43"/>
      <c r="O110" s="43"/>
      <c r="P110" s="43"/>
      <c r="Q110" s="43"/>
      <c r="R110" s="43"/>
      <c r="S110" s="43"/>
      <c r="T110" s="43"/>
    </row>
    <row r="111" spans="1:20" x14ac:dyDescent="0.35">
      <c r="A111" s="43"/>
      <c r="B111" s="43"/>
      <c r="C111" s="43"/>
      <c r="D111" s="43"/>
      <c r="E111" s="43"/>
      <c r="F111" s="43"/>
      <c r="G111" s="43"/>
      <c r="H111" s="43"/>
      <c r="I111" s="43"/>
      <c r="J111" s="43"/>
      <c r="K111" s="43"/>
      <c r="L111" s="43"/>
      <c r="M111" s="43"/>
      <c r="N111" s="43"/>
      <c r="O111" s="43"/>
      <c r="P111" s="43"/>
      <c r="Q111" s="43"/>
      <c r="R111" s="43"/>
      <c r="S111" s="43"/>
      <c r="T111" s="43"/>
    </row>
    <row r="112" spans="1:20" x14ac:dyDescent="0.35">
      <c r="A112" s="43"/>
      <c r="B112" s="43"/>
      <c r="C112" s="43"/>
      <c r="D112" s="43"/>
      <c r="E112" s="43"/>
      <c r="F112" s="43"/>
      <c r="G112" s="43"/>
      <c r="H112" s="43"/>
      <c r="I112" s="43"/>
      <c r="J112" s="43"/>
      <c r="K112" s="43"/>
      <c r="L112" s="43"/>
      <c r="M112" s="43"/>
      <c r="N112" s="43"/>
      <c r="O112" s="43"/>
      <c r="P112" s="43"/>
      <c r="Q112" s="43"/>
      <c r="R112" s="43"/>
      <c r="S112" s="43"/>
      <c r="T112" s="43"/>
    </row>
    <row r="113" spans="1:20" x14ac:dyDescent="0.35">
      <c r="A113" s="43"/>
      <c r="B113" s="43"/>
      <c r="C113" s="43"/>
      <c r="D113" s="43"/>
      <c r="E113" s="43"/>
      <c r="F113" s="43"/>
      <c r="G113" s="43"/>
      <c r="H113" s="43"/>
      <c r="I113" s="43"/>
      <c r="J113" s="43"/>
      <c r="K113" s="43"/>
      <c r="L113" s="43"/>
      <c r="M113" s="43"/>
      <c r="N113" s="43"/>
      <c r="O113" s="43"/>
      <c r="P113" s="43"/>
      <c r="Q113" s="43"/>
      <c r="R113" s="43"/>
      <c r="S113" s="43"/>
      <c r="T113" s="43"/>
    </row>
    <row r="114" spans="1:20" x14ac:dyDescent="0.35">
      <c r="A114" s="43"/>
      <c r="B114" s="43"/>
      <c r="C114" s="43"/>
      <c r="D114" s="43"/>
      <c r="E114" s="43"/>
      <c r="F114" s="43"/>
      <c r="G114" s="43"/>
      <c r="H114" s="43"/>
      <c r="I114" s="43"/>
      <c r="J114" s="43"/>
      <c r="K114" s="43"/>
      <c r="L114" s="43"/>
      <c r="M114" s="43"/>
      <c r="N114" s="43"/>
      <c r="O114" s="43"/>
      <c r="P114" s="43"/>
      <c r="Q114" s="43"/>
      <c r="R114" s="43"/>
      <c r="S114" s="43"/>
      <c r="T114" s="43"/>
    </row>
    <row r="115" spans="1:20" x14ac:dyDescent="0.35">
      <c r="A115" s="43"/>
      <c r="B115" s="43"/>
      <c r="C115" s="43"/>
      <c r="D115" s="43"/>
      <c r="E115" s="43"/>
      <c r="F115" s="43"/>
      <c r="G115" s="43"/>
      <c r="H115" s="43"/>
      <c r="I115" s="43"/>
      <c r="J115" s="43"/>
      <c r="K115" s="43"/>
      <c r="L115" s="43"/>
      <c r="M115" s="43"/>
      <c r="N115" s="43"/>
      <c r="O115" s="43"/>
      <c r="P115" s="43"/>
      <c r="Q115" s="43"/>
      <c r="R115" s="43"/>
      <c r="S115" s="43"/>
      <c r="T115" s="43"/>
    </row>
    <row r="116" spans="1:20" x14ac:dyDescent="0.35">
      <c r="A116" s="43"/>
      <c r="B116" s="43"/>
      <c r="C116" s="43"/>
      <c r="D116" s="43"/>
      <c r="E116" s="43"/>
      <c r="F116" s="43"/>
      <c r="G116" s="43"/>
      <c r="H116" s="43"/>
      <c r="I116" s="43"/>
      <c r="J116" s="43"/>
      <c r="K116" s="43"/>
      <c r="L116" s="43"/>
      <c r="M116" s="43"/>
      <c r="N116" s="43"/>
      <c r="O116" s="43"/>
      <c r="P116" s="43"/>
      <c r="Q116" s="43"/>
      <c r="R116" s="43"/>
      <c r="S116" s="43"/>
      <c r="T116" s="43"/>
    </row>
    <row r="117" spans="1:20" x14ac:dyDescent="0.35">
      <c r="A117" s="43"/>
      <c r="B117" s="43"/>
      <c r="C117" s="43"/>
      <c r="D117" s="43"/>
      <c r="E117" s="43"/>
      <c r="F117" s="43"/>
      <c r="G117" s="43"/>
      <c r="H117" s="43"/>
      <c r="I117" s="43"/>
      <c r="J117" s="43"/>
      <c r="K117" s="43"/>
      <c r="L117" s="43"/>
      <c r="M117" s="43"/>
      <c r="N117" s="43"/>
      <c r="O117" s="43"/>
      <c r="P117" s="43"/>
      <c r="Q117" s="43"/>
      <c r="R117" s="43"/>
      <c r="S117" s="43"/>
      <c r="T117" s="43"/>
    </row>
    <row r="118" spans="1:20" x14ac:dyDescent="0.35">
      <c r="A118" s="43"/>
      <c r="B118" s="43"/>
      <c r="C118" s="43"/>
      <c r="D118" s="43"/>
      <c r="E118" s="43"/>
      <c r="F118" s="43"/>
      <c r="G118" s="43"/>
      <c r="H118" s="43"/>
      <c r="I118" s="43"/>
      <c r="J118" s="43"/>
      <c r="K118" s="43"/>
      <c r="L118" s="43"/>
      <c r="M118" s="43"/>
      <c r="N118" s="43"/>
      <c r="O118" s="43"/>
      <c r="P118" s="43"/>
      <c r="Q118" s="43"/>
      <c r="R118" s="43"/>
      <c r="S118" s="43"/>
      <c r="T118" s="43"/>
    </row>
    <row r="119" spans="1:20" x14ac:dyDescent="0.35">
      <c r="A119" s="43"/>
      <c r="B119" s="43"/>
      <c r="C119" s="43"/>
      <c r="D119" s="43"/>
      <c r="E119" s="43"/>
      <c r="F119" s="43"/>
      <c r="G119" s="43"/>
      <c r="H119" s="43"/>
      <c r="I119" s="43"/>
      <c r="J119" s="43"/>
      <c r="K119" s="43"/>
      <c r="L119" s="43"/>
      <c r="M119" s="43"/>
      <c r="N119" s="43"/>
      <c r="O119" s="43"/>
      <c r="P119" s="43"/>
      <c r="Q119" s="43"/>
      <c r="R119" s="43"/>
      <c r="S119" s="43"/>
      <c r="T119" s="43"/>
    </row>
    <row r="120" spans="1:20" x14ac:dyDescent="0.35">
      <c r="A120" s="43"/>
      <c r="B120" s="43"/>
      <c r="C120" s="43"/>
      <c r="D120" s="43"/>
      <c r="E120" s="43"/>
      <c r="F120" s="43"/>
      <c r="G120" s="43"/>
      <c r="H120" s="43"/>
      <c r="I120" s="43"/>
      <c r="J120" s="43"/>
      <c r="K120" s="43"/>
      <c r="L120" s="43"/>
      <c r="M120" s="43"/>
      <c r="N120" s="43"/>
      <c r="O120" s="43"/>
      <c r="P120" s="43"/>
      <c r="Q120" s="43"/>
      <c r="R120" s="43"/>
      <c r="S120" s="43"/>
      <c r="T120" s="43"/>
    </row>
    <row r="121" spans="1:20" x14ac:dyDescent="0.35">
      <c r="A121" s="43"/>
      <c r="B121" s="43"/>
      <c r="C121" s="43"/>
      <c r="D121" s="43"/>
      <c r="E121" s="43"/>
      <c r="F121" s="43"/>
      <c r="G121" s="43"/>
      <c r="H121" s="43"/>
      <c r="I121" s="43"/>
      <c r="J121" s="43"/>
      <c r="K121" s="43"/>
      <c r="L121" s="43"/>
      <c r="M121" s="43"/>
      <c r="N121" s="43"/>
      <c r="O121" s="43"/>
      <c r="P121" s="43"/>
      <c r="Q121" s="43"/>
      <c r="R121" s="43"/>
      <c r="S121" s="43"/>
      <c r="T121" s="43"/>
    </row>
    <row r="122" spans="1:20" x14ac:dyDescent="0.35">
      <c r="A122" s="43"/>
      <c r="B122" s="43"/>
      <c r="C122" s="43"/>
      <c r="D122" s="43"/>
      <c r="E122" s="43"/>
      <c r="F122" s="43"/>
      <c r="G122" s="43"/>
      <c r="H122" s="43"/>
      <c r="I122" s="43"/>
      <c r="J122" s="43"/>
      <c r="K122" s="43"/>
      <c r="L122" s="43"/>
      <c r="M122" s="43"/>
      <c r="N122" s="43"/>
      <c r="O122" s="43"/>
      <c r="P122" s="43"/>
      <c r="Q122" s="43"/>
      <c r="R122" s="43"/>
      <c r="S122" s="43"/>
      <c r="T122" s="43"/>
    </row>
    <row r="123" spans="1:20" x14ac:dyDescent="0.35">
      <c r="A123" s="43"/>
      <c r="B123" s="43"/>
      <c r="C123" s="43"/>
      <c r="D123" s="43"/>
      <c r="E123" s="43"/>
      <c r="F123" s="43"/>
      <c r="G123" s="43"/>
      <c r="H123" s="43"/>
      <c r="I123" s="43"/>
      <c r="J123" s="43"/>
      <c r="K123" s="43"/>
      <c r="L123" s="43"/>
      <c r="M123" s="43"/>
      <c r="N123" s="43"/>
      <c r="O123" s="43"/>
      <c r="P123" s="43"/>
      <c r="Q123" s="43"/>
      <c r="R123" s="43"/>
      <c r="S123" s="43"/>
      <c r="T123" s="43"/>
    </row>
    <row r="124" spans="1:20" x14ac:dyDescent="0.35">
      <c r="A124" s="43"/>
      <c r="B124" s="43"/>
      <c r="C124" s="43"/>
      <c r="D124" s="43"/>
      <c r="E124" s="43"/>
      <c r="F124" s="43"/>
      <c r="G124" s="43"/>
      <c r="H124" s="43"/>
      <c r="I124" s="43"/>
      <c r="J124" s="43"/>
      <c r="K124" s="43"/>
      <c r="L124" s="43"/>
      <c r="M124" s="43"/>
      <c r="N124" s="43"/>
      <c r="O124" s="43"/>
      <c r="P124" s="43"/>
      <c r="Q124" s="43"/>
      <c r="R124" s="43"/>
      <c r="S124" s="43"/>
      <c r="T124" s="43"/>
    </row>
    <row r="125" spans="1:20" x14ac:dyDescent="0.35">
      <c r="A125" s="43"/>
      <c r="B125" s="43"/>
      <c r="C125" s="43"/>
      <c r="D125" s="43"/>
      <c r="E125" s="43"/>
      <c r="F125" s="43"/>
      <c r="G125" s="43"/>
      <c r="H125" s="43"/>
      <c r="I125" s="43"/>
      <c r="J125" s="43"/>
      <c r="K125" s="43"/>
      <c r="L125" s="43"/>
      <c r="M125" s="43"/>
      <c r="N125" s="43"/>
      <c r="O125" s="43"/>
      <c r="P125" s="43"/>
      <c r="Q125" s="43"/>
      <c r="R125" s="43"/>
      <c r="S125" s="43"/>
      <c r="T125" s="43"/>
    </row>
    <row r="126" spans="1:20" x14ac:dyDescent="0.35">
      <c r="A126" s="43"/>
      <c r="B126" s="43"/>
      <c r="C126" s="43"/>
      <c r="D126" s="43"/>
      <c r="E126" s="43"/>
      <c r="F126" s="43"/>
      <c r="G126" s="43"/>
      <c r="H126" s="43"/>
      <c r="I126" s="43"/>
      <c r="J126" s="43"/>
      <c r="K126" s="43"/>
      <c r="L126" s="43"/>
      <c r="M126" s="43"/>
      <c r="N126" s="43"/>
      <c r="O126" s="43"/>
      <c r="P126" s="43"/>
      <c r="Q126" s="43"/>
      <c r="R126" s="43"/>
      <c r="S126" s="43"/>
      <c r="T126" s="43"/>
    </row>
    <row r="127" spans="1:20" x14ac:dyDescent="0.35">
      <c r="A127" s="43"/>
      <c r="B127" s="43"/>
      <c r="C127" s="43"/>
      <c r="D127" s="43"/>
      <c r="E127" s="43"/>
      <c r="F127" s="43"/>
      <c r="G127" s="43"/>
      <c r="H127" s="43"/>
      <c r="I127" s="43"/>
      <c r="J127" s="43"/>
      <c r="K127" s="43"/>
      <c r="L127" s="43"/>
      <c r="M127" s="43"/>
      <c r="N127" s="43"/>
      <c r="O127" s="43"/>
      <c r="P127" s="43"/>
      <c r="Q127" s="43"/>
      <c r="R127" s="43"/>
      <c r="S127" s="43"/>
      <c r="T127" s="43"/>
    </row>
    <row r="128" spans="1:20" x14ac:dyDescent="0.35">
      <c r="A128" s="43"/>
      <c r="B128" s="43"/>
      <c r="C128" s="43"/>
      <c r="D128" s="43"/>
      <c r="E128" s="43"/>
      <c r="F128" s="43"/>
      <c r="G128" s="43"/>
      <c r="H128" s="43"/>
      <c r="I128" s="43"/>
      <c r="J128" s="43"/>
      <c r="K128" s="43"/>
      <c r="L128" s="43"/>
      <c r="M128" s="43"/>
      <c r="N128" s="43"/>
      <c r="O128" s="43"/>
      <c r="P128" s="43"/>
      <c r="Q128" s="43"/>
      <c r="R128" s="43"/>
      <c r="S128" s="43"/>
      <c r="T128" s="43"/>
    </row>
    <row r="129" spans="1:20" x14ac:dyDescent="0.35">
      <c r="A129" s="43"/>
      <c r="B129" s="43"/>
      <c r="C129" s="43"/>
      <c r="D129" s="43"/>
      <c r="E129" s="43"/>
      <c r="F129" s="43"/>
      <c r="G129" s="43"/>
      <c r="H129" s="43"/>
      <c r="I129" s="43"/>
      <c r="J129" s="43"/>
      <c r="K129" s="43"/>
      <c r="L129" s="43"/>
      <c r="M129" s="43"/>
      <c r="N129" s="43"/>
      <c r="O129" s="43"/>
      <c r="P129" s="43"/>
      <c r="Q129" s="43"/>
      <c r="R129" s="43"/>
      <c r="S129" s="43"/>
      <c r="T129" s="43"/>
    </row>
    <row r="130" spans="1:20" x14ac:dyDescent="0.35">
      <c r="A130" s="43"/>
      <c r="B130" s="43"/>
      <c r="C130" s="43"/>
      <c r="D130" s="43"/>
      <c r="E130" s="43"/>
      <c r="F130" s="43"/>
      <c r="G130" s="43"/>
      <c r="H130" s="43"/>
      <c r="I130" s="43"/>
      <c r="J130" s="43"/>
      <c r="K130" s="43"/>
      <c r="L130" s="43"/>
      <c r="M130" s="43"/>
      <c r="N130" s="43"/>
      <c r="O130" s="43"/>
      <c r="P130" s="43"/>
      <c r="Q130" s="43"/>
      <c r="R130" s="43"/>
      <c r="S130" s="43"/>
      <c r="T130" s="43"/>
    </row>
    <row r="131" spans="1:20" x14ac:dyDescent="0.35">
      <c r="A131" s="43"/>
      <c r="B131" s="43"/>
      <c r="C131" s="43"/>
      <c r="D131" s="43"/>
      <c r="E131" s="43"/>
      <c r="F131" s="43"/>
      <c r="G131" s="43"/>
      <c r="H131" s="43"/>
      <c r="I131" s="43"/>
      <c r="J131" s="43"/>
      <c r="K131" s="43"/>
      <c r="L131" s="43"/>
      <c r="M131" s="43"/>
      <c r="N131" s="43"/>
      <c r="O131" s="43"/>
      <c r="P131" s="43"/>
      <c r="Q131" s="43"/>
      <c r="R131" s="43"/>
      <c r="S131" s="43"/>
      <c r="T131" s="43"/>
    </row>
    <row r="132" spans="1:20" x14ac:dyDescent="0.35">
      <c r="A132" s="43"/>
      <c r="B132" s="43"/>
      <c r="C132" s="43"/>
      <c r="D132" s="43"/>
      <c r="E132" s="43"/>
      <c r="F132" s="43"/>
      <c r="G132" s="43"/>
      <c r="H132" s="43"/>
      <c r="I132" s="43"/>
      <c r="J132" s="43"/>
      <c r="K132" s="43"/>
      <c r="L132" s="43"/>
      <c r="M132" s="43"/>
      <c r="N132" s="43"/>
      <c r="O132" s="43"/>
      <c r="P132" s="43"/>
      <c r="Q132" s="43"/>
      <c r="R132" s="43"/>
      <c r="S132" s="43"/>
      <c r="T132" s="43"/>
    </row>
    <row r="133" spans="1:20" x14ac:dyDescent="0.35">
      <c r="A133" s="43"/>
      <c r="B133" s="43"/>
      <c r="C133" s="43"/>
      <c r="D133" s="43"/>
      <c r="E133" s="43"/>
      <c r="F133" s="43"/>
      <c r="G133" s="43"/>
      <c r="H133" s="43"/>
      <c r="I133" s="43"/>
      <c r="J133" s="43"/>
      <c r="K133" s="43"/>
      <c r="L133" s="43"/>
      <c r="M133" s="43"/>
      <c r="N133" s="43"/>
      <c r="O133" s="43"/>
      <c r="P133" s="43"/>
      <c r="Q133" s="43"/>
      <c r="R133" s="43"/>
      <c r="S133" s="43"/>
      <c r="T133" s="43"/>
    </row>
    <row r="134" spans="1:20" x14ac:dyDescent="0.35">
      <c r="A134" s="43"/>
      <c r="B134" s="43"/>
      <c r="C134" s="43"/>
      <c r="D134" s="43"/>
      <c r="E134" s="43"/>
      <c r="F134" s="43"/>
      <c r="G134" s="43"/>
      <c r="H134" s="43"/>
      <c r="I134" s="43"/>
      <c r="J134" s="43"/>
      <c r="K134" s="43"/>
      <c r="L134" s="43"/>
      <c r="M134" s="43"/>
      <c r="N134" s="43"/>
      <c r="O134" s="43"/>
      <c r="P134" s="43"/>
      <c r="Q134" s="43"/>
      <c r="R134" s="43"/>
      <c r="S134" s="43"/>
      <c r="T134" s="43"/>
    </row>
    <row r="135" spans="1:20" x14ac:dyDescent="0.35">
      <c r="A135" s="43"/>
      <c r="B135" s="43"/>
      <c r="C135" s="43"/>
      <c r="D135" s="43"/>
      <c r="E135" s="43"/>
      <c r="F135" s="43"/>
      <c r="G135" s="43"/>
      <c r="H135" s="43"/>
      <c r="I135" s="43"/>
      <c r="J135" s="43"/>
      <c r="K135" s="43"/>
      <c r="L135" s="43"/>
      <c r="M135" s="43"/>
      <c r="N135" s="43"/>
      <c r="O135" s="43"/>
      <c r="P135" s="43"/>
      <c r="Q135" s="43"/>
      <c r="R135" s="43"/>
      <c r="S135" s="43"/>
      <c r="T135" s="43"/>
    </row>
    <row r="136" spans="1:20" x14ac:dyDescent="0.35">
      <c r="A136" s="43"/>
      <c r="B136" s="43"/>
      <c r="C136" s="43"/>
      <c r="D136" s="43"/>
      <c r="E136" s="43"/>
      <c r="F136" s="43"/>
      <c r="G136" s="43"/>
      <c r="H136" s="43"/>
      <c r="I136" s="43"/>
      <c r="J136" s="43"/>
      <c r="K136" s="43"/>
      <c r="L136" s="43"/>
      <c r="M136" s="43"/>
      <c r="N136" s="43"/>
      <c r="O136" s="43"/>
      <c r="P136" s="43"/>
      <c r="Q136" s="43"/>
      <c r="R136" s="43"/>
      <c r="S136" s="43"/>
      <c r="T136" s="43"/>
    </row>
    <row r="137" spans="1:20" x14ac:dyDescent="0.35">
      <c r="A137" s="43"/>
      <c r="B137" s="43"/>
      <c r="C137" s="43"/>
      <c r="D137" s="43"/>
      <c r="E137" s="43"/>
      <c r="F137" s="43"/>
      <c r="G137" s="43"/>
      <c r="H137" s="43"/>
      <c r="I137" s="43"/>
      <c r="J137" s="43"/>
      <c r="K137" s="43"/>
      <c r="L137" s="43"/>
      <c r="M137" s="43"/>
      <c r="N137" s="43"/>
      <c r="O137" s="43"/>
      <c r="P137" s="43"/>
      <c r="Q137" s="43"/>
      <c r="R137" s="43"/>
      <c r="S137" s="43"/>
      <c r="T137" s="43"/>
    </row>
    <row r="138" spans="1:20" x14ac:dyDescent="0.35">
      <c r="A138" s="43"/>
      <c r="B138" s="43"/>
      <c r="C138" s="43"/>
      <c r="D138" s="43"/>
      <c r="E138" s="43"/>
      <c r="F138" s="43"/>
      <c r="G138" s="43"/>
      <c r="H138" s="43"/>
      <c r="I138" s="43"/>
      <c r="J138" s="43"/>
      <c r="K138" s="43"/>
      <c r="L138" s="43"/>
      <c r="M138" s="43"/>
      <c r="N138" s="43"/>
      <c r="O138" s="43"/>
      <c r="P138" s="43"/>
      <c r="Q138" s="43"/>
      <c r="R138" s="43"/>
      <c r="S138" s="43"/>
      <c r="T138" s="43"/>
    </row>
    <row r="139" spans="1:20" x14ac:dyDescent="0.35">
      <c r="A139" s="43"/>
      <c r="B139" s="43"/>
      <c r="C139" s="43"/>
      <c r="D139" s="43"/>
      <c r="E139" s="43"/>
      <c r="F139" s="43"/>
      <c r="G139" s="43"/>
      <c r="H139" s="43"/>
      <c r="I139" s="43"/>
      <c r="J139" s="43"/>
      <c r="K139" s="43"/>
      <c r="L139" s="43"/>
      <c r="M139" s="43"/>
      <c r="N139" s="43"/>
      <c r="O139" s="43"/>
      <c r="P139" s="43"/>
      <c r="Q139" s="43"/>
      <c r="R139" s="43"/>
      <c r="S139" s="43"/>
      <c r="T139" s="43"/>
    </row>
    <row r="140" spans="1:20" x14ac:dyDescent="0.35">
      <c r="A140" s="43"/>
      <c r="B140" s="43"/>
      <c r="C140" s="43"/>
      <c r="D140" s="43"/>
      <c r="E140" s="43"/>
      <c r="F140" s="43"/>
      <c r="G140" s="43"/>
      <c r="H140" s="43"/>
      <c r="I140" s="43"/>
      <c r="J140" s="43"/>
      <c r="K140" s="43"/>
      <c r="L140" s="43"/>
      <c r="M140" s="43"/>
      <c r="N140" s="43"/>
      <c r="O140" s="43"/>
      <c r="P140" s="43"/>
      <c r="Q140" s="43"/>
      <c r="R140" s="43"/>
      <c r="S140" s="43"/>
      <c r="T140" s="43"/>
    </row>
    <row r="141" spans="1:20" x14ac:dyDescent="0.35">
      <c r="A141" s="43"/>
      <c r="B141" s="43"/>
      <c r="C141" s="43"/>
      <c r="D141" s="43"/>
      <c r="E141" s="43"/>
      <c r="F141" s="43"/>
      <c r="G141" s="43"/>
      <c r="H141" s="43"/>
      <c r="I141" s="43"/>
      <c r="J141" s="43"/>
      <c r="K141" s="43"/>
      <c r="L141" s="43"/>
      <c r="M141" s="43"/>
      <c r="N141" s="43"/>
      <c r="O141" s="43"/>
      <c r="P141" s="43"/>
      <c r="Q141" s="43"/>
      <c r="R141" s="43"/>
      <c r="S141" s="43"/>
      <c r="T141" s="43"/>
    </row>
    <row r="142" spans="1:20" x14ac:dyDescent="0.35">
      <c r="A142" s="43"/>
      <c r="B142" s="43"/>
      <c r="C142" s="43"/>
      <c r="D142" s="43"/>
      <c r="E142" s="43"/>
      <c r="F142" s="43"/>
      <c r="G142" s="43"/>
      <c r="H142" s="43"/>
      <c r="I142" s="43"/>
      <c r="J142" s="43"/>
      <c r="K142" s="43"/>
      <c r="L142" s="43"/>
      <c r="M142" s="43"/>
      <c r="N142" s="43"/>
      <c r="O142" s="43"/>
      <c r="P142" s="43"/>
      <c r="Q142" s="43"/>
      <c r="R142" s="43"/>
      <c r="S142" s="43"/>
      <c r="T142" s="43"/>
    </row>
    <row r="143" spans="1:20" x14ac:dyDescent="0.35">
      <c r="A143" s="43"/>
      <c r="B143" s="43"/>
      <c r="C143" s="43"/>
      <c r="D143" s="43"/>
      <c r="E143" s="43"/>
      <c r="F143" s="43"/>
      <c r="G143" s="43"/>
      <c r="H143" s="43"/>
      <c r="I143" s="43"/>
      <c r="J143" s="43"/>
      <c r="K143" s="43"/>
      <c r="L143" s="43"/>
      <c r="M143" s="43"/>
      <c r="N143" s="43"/>
      <c r="O143" s="43"/>
      <c r="P143" s="43"/>
      <c r="Q143" s="43"/>
      <c r="R143" s="43"/>
      <c r="S143" s="43"/>
      <c r="T143" s="43"/>
    </row>
    <row r="144" spans="1:20" x14ac:dyDescent="0.35">
      <c r="A144" s="43"/>
      <c r="B144" s="43"/>
      <c r="C144" s="43"/>
      <c r="D144" s="43"/>
      <c r="E144" s="43"/>
      <c r="F144" s="43"/>
      <c r="G144" s="43"/>
      <c r="H144" s="43"/>
      <c r="I144" s="43"/>
      <c r="J144" s="43"/>
      <c r="K144" s="43"/>
      <c r="L144" s="43"/>
      <c r="M144" s="43"/>
      <c r="N144" s="43"/>
      <c r="O144" s="43"/>
      <c r="P144" s="43"/>
      <c r="Q144" s="43"/>
      <c r="R144" s="43"/>
      <c r="S144" s="43"/>
      <c r="T144" s="43"/>
    </row>
    <row r="145" spans="1:20" x14ac:dyDescent="0.35">
      <c r="A145" s="43"/>
      <c r="B145" s="43"/>
      <c r="C145" s="43"/>
      <c r="D145" s="43"/>
      <c r="E145" s="43"/>
      <c r="F145" s="43"/>
      <c r="G145" s="43"/>
      <c r="H145" s="43"/>
      <c r="I145" s="43"/>
      <c r="J145" s="43"/>
      <c r="K145" s="43"/>
      <c r="L145" s="43"/>
      <c r="M145" s="43"/>
      <c r="N145" s="43"/>
      <c r="O145" s="43"/>
      <c r="P145" s="43"/>
      <c r="Q145" s="43"/>
      <c r="R145" s="43"/>
      <c r="S145" s="43"/>
      <c r="T145" s="43"/>
    </row>
    <row r="146" spans="1:20" x14ac:dyDescent="0.35">
      <c r="A146" s="43"/>
      <c r="B146" s="43"/>
      <c r="C146" s="43"/>
      <c r="D146" s="43"/>
      <c r="E146" s="43"/>
      <c r="F146" s="43"/>
      <c r="G146" s="43"/>
      <c r="H146" s="43"/>
      <c r="I146" s="43"/>
      <c r="J146" s="43"/>
      <c r="K146" s="43"/>
      <c r="L146" s="43"/>
      <c r="M146" s="43"/>
      <c r="N146" s="43"/>
      <c r="O146" s="43"/>
      <c r="P146" s="43"/>
      <c r="Q146" s="43"/>
      <c r="R146" s="43"/>
      <c r="S146" s="43"/>
      <c r="T146" s="43"/>
    </row>
    <row r="147" spans="1:20" x14ac:dyDescent="0.35">
      <c r="A147" s="43"/>
      <c r="B147" s="43"/>
      <c r="C147" s="43"/>
      <c r="D147" s="43"/>
      <c r="E147" s="43"/>
      <c r="F147" s="43"/>
      <c r="G147" s="43"/>
      <c r="H147" s="43"/>
      <c r="I147" s="43"/>
      <c r="J147" s="43"/>
      <c r="K147" s="43"/>
      <c r="L147" s="43"/>
      <c r="M147" s="43"/>
      <c r="N147" s="43"/>
      <c r="O147" s="43"/>
      <c r="P147" s="43"/>
      <c r="Q147" s="43"/>
      <c r="R147" s="43"/>
      <c r="S147" s="43"/>
      <c r="T147" s="43"/>
    </row>
    <row r="148" spans="1:20" x14ac:dyDescent="0.35">
      <c r="A148" s="43"/>
      <c r="B148" s="43"/>
      <c r="C148" s="43"/>
      <c r="D148" s="43"/>
      <c r="E148" s="43"/>
      <c r="F148" s="43"/>
      <c r="G148" s="43"/>
      <c r="H148" s="43"/>
      <c r="I148" s="43"/>
      <c r="J148" s="43"/>
      <c r="K148" s="43"/>
      <c r="L148" s="43"/>
      <c r="M148" s="43"/>
      <c r="N148" s="43"/>
      <c r="O148" s="43"/>
      <c r="P148" s="43"/>
      <c r="Q148" s="43"/>
      <c r="R148" s="43"/>
      <c r="S148" s="43"/>
      <c r="T148" s="43"/>
    </row>
    <row r="149" spans="1:20" x14ac:dyDescent="0.35">
      <c r="A149" s="43"/>
      <c r="B149" s="43"/>
      <c r="C149" s="43"/>
      <c r="D149" s="43"/>
      <c r="E149" s="43"/>
      <c r="F149" s="43"/>
      <c r="G149" s="43"/>
      <c r="H149" s="43"/>
      <c r="I149" s="43"/>
      <c r="J149" s="43"/>
      <c r="K149" s="43"/>
      <c r="L149" s="43"/>
      <c r="M149" s="43"/>
      <c r="N149" s="43"/>
      <c r="O149" s="43"/>
      <c r="P149" s="43"/>
      <c r="Q149" s="43"/>
      <c r="R149" s="43"/>
      <c r="S149" s="43"/>
      <c r="T149" s="43"/>
    </row>
    <row r="150" spans="1:20" x14ac:dyDescent="0.35">
      <c r="A150" s="43"/>
      <c r="B150" s="43"/>
      <c r="C150" s="43"/>
      <c r="D150" s="43"/>
      <c r="E150" s="43"/>
      <c r="F150" s="43"/>
      <c r="G150" s="43"/>
      <c r="H150" s="43"/>
      <c r="I150" s="43"/>
      <c r="J150" s="43"/>
      <c r="K150" s="43"/>
      <c r="L150" s="43"/>
      <c r="M150" s="43"/>
      <c r="N150" s="43"/>
      <c r="O150" s="43"/>
      <c r="P150" s="43"/>
      <c r="Q150" s="43"/>
      <c r="R150" s="43"/>
      <c r="S150" s="43"/>
      <c r="T150" s="43"/>
    </row>
    <row r="151" spans="1:20" x14ac:dyDescent="0.35">
      <c r="A151" s="43"/>
      <c r="B151" s="43"/>
      <c r="C151" s="43"/>
      <c r="D151" s="43"/>
      <c r="E151" s="43"/>
      <c r="F151" s="43"/>
      <c r="G151" s="43"/>
      <c r="H151" s="43"/>
      <c r="I151" s="43"/>
      <c r="J151" s="43"/>
      <c r="K151" s="43"/>
      <c r="L151" s="43"/>
      <c r="M151" s="43"/>
      <c r="N151" s="43"/>
      <c r="O151" s="43"/>
      <c r="P151" s="43"/>
      <c r="Q151" s="43"/>
      <c r="R151" s="43"/>
      <c r="S151" s="43"/>
      <c r="T151" s="43"/>
    </row>
    <row r="152" spans="1:20" x14ac:dyDescent="0.35">
      <c r="A152" s="43"/>
      <c r="B152" s="43"/>
      <c r="C152" s="43"/>
      <c r="D152" s="43"/>
      <c r="E152" s="43"/>
      <c r="F152" s="43"/>
      <c r="G152" s="43"/>
      <c r="H152" s="43"/>
      <c r="I152" s="43"/>
      <c r="J152" s="43"/>
      <c r="K152" s="43"/>
      <c r="L152" s="43"/>
      <c r="M152" s="43"/>
      <c r="N152" s="43"/>
      <c r="O152" s="43"/>
      <c r="P152" s="43"/>
      <c r="Q152" s="43"/>
      <c r="R152" s="43"/>
      <c r="S152" s="43"/>
      <c r="T152" s="43"/>
    </row>
    <row r="153" spans="1:20" x14ac:dyDescent="0.35">
      <c r="A153" s="43"/>
      <c r="B153" s="43"/>
      <c r="C153" s="43"/>
      <c r="D153" s="43"/>
      <c r="E153" s="43"/>
      <c r="F153" s="43"/>
      <c r="G153" s="43"/>
      <c r="H153" s="43"/>
      <c r="I153" s="43"/>
      <c r="J153" s="43"/>
      <c r="K153" s="43"/>
      <c r="L153" s="43"/>
      <c r="M153" s="43"/>
      <c r="N153" s="43"/>
      <c r="O153" s="43"/>
      <c r="P153" s="43"/>
      <c r="Q153" s="43"/>
      <c r="R153" s="43"/>
      <c r="S153" s="43"/>
      <c r="T153" s="43"/>
    </row>
    <row r="154" spans="1:20" x14ac:dyDescent="0.35">
      <c r="A154" s="43"/>
      <c r="B154" s="43"/>
      <c r="C154" s="43"/>
      <c r="D154" s="43"/>
      <c r="E154" s="43"/>
      <c r="F154" s="43"/>
      <c r="G154" s="43"/>
      <c r="H154" s="43"/>
      <c r="I154" s="43"/>
      <c r="J154" s="43"/>
      <c r="K154" s="43"/>
      <c r="L154" s="43"/>
      <c r="M154" s="43"/>
      <c r="N154" s="43"/>
      <c r="O154" s="43"/>
      <c r="P154" s="43"/>
      <c r="Q154" s="43"/>
      <c r="R154" s="43"/>
      <c r="S154" s="43"/>
      <c r="T154" s="43"/>
    </row>
    <row r="155" spans="1:20" x14ac:dyDescent="0.35">
      <c r="A155" s="43"/>
      <c r="B155" s="43"/>
      <c r="C155" s="43"/>
      <c r="D155" s="43"/>
      <c r="E155" s="43"/>
      <c r="F155" s="43"/>
      <c r="G155" s="43"/>
      <c r="H155" s="43"/>
      <c r="I155" s="43"/>
      <c r="J155" s="43"/>
      <c r="K155" s="43"/>
      <c r="L155" s="43"/>
      <c r="M155" s="43"/>
      <c r="N155" s="43"/>
      <c r="O155" s="43"/>
      <c r="P155" s="43"/>
      <c r="Q155" s="43"/>
      <c r="R155" s="43"/>
      <c r="S155" s="43"/>
      <c r="T155" s="43"/>
    </row>
  </sheetData>
  <mergeCells count="1">
    <mergeCell ref="A1:N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36"/>
  <sheetViews>
    <sheetView topLeftCell="A19" zoomScale="115" zoomScaleNormal="115" workbookViewId="0">
      <selection activeCell="E32" sqref="E32:F36"/>
    </sheetView>
  </sheetViews>
  <sheetFormatPr defaultRowHeight="14.5" x14ac:dyDescent="0.35"/>
  <cols>
    <col min="1" max="1" width="15.81640625" bestFit="1" customWidth="1"/>
    <col min="2" max="2" width="15.26953125" customWidth="1"/>
    <col min="3" max="3" width="4" customWidth="1"/>
    <col min="4" max="4" width="10.7265625" bestFit="1" customWidth="1"/>
    <col min="5" max="5" width="12.36328125" customWidth="1"/>
    <col min="6" max="6" width="25.36328125" bestFit="1" customWidth="1"/>
    <col min="7" max="9" width="9.7265625" bestFit="1" customWidth="1"/>
    <col min="10" max="10" width="10.7265625" bestFit="1" customWidth="1"/>
    <col min="11" max="15" width="11.81640625" bestFit="1" customWidth="1"/>
    <col min="16" max="16" width="10.7265625" bestFit="1" customWidth="1"/>
  </cols>
  <sheetData>
    <row r="3" spans="1:5" x14ac:dyDescent="0.35">
      <c r="A3" s="6" t="s">
        <v>63</v>
      </c>
      <c r="B3" s="6" t="s">
        <v>83</v>
      </c>
    </row>
    <row r="4" spans="1:5" x14ac:dyDescent="0.35">
      <c r="A4" s="6" t="s">
        <v>82</v>
      </c>
      <c r="B4" t="s">
        <v>43</v>
      </c>
      <c r="C4" t="s">
        <v>35</v>
      </c>
      <c r="D4" t="s">
        <v>62</v>
      </c>
      <c r="E4" t="s">
        <v>91</v>
      </c>
    </row>
    <row r="5" spans="1:5" x14ac:dyDescent="0.35">
      <c r="A5" s="7" t="s">
        <v>86</v>
      </c>
      <c r="B5" s="8">
        <v>151</v>
      </c>
      <c r="C5" s="8">
        <v>59</v>
      </c>
      <c r="D5" s="8">
        <v>210</v>
      </c>
      <c r="E5" s="38">
        <f>GETPIVOTDATA("Attrition",$A$3,"Age",18,"Attrition","Yes")/GETPIVOTDATA("Attrition",$A$3)</f>
        <v>4.0136054421768708E-2</v>
      </c>
    </row>
    <row r="6" spans="1:5" x14ac:dyDescent="0.35">
      <c r="A6" s="7" t="s">
        <v>87</v>
      </c>
      <c r="B6" s="8">
        <v>525</v>
      </c>
      <c r="C6" s="8">
        <v>113</v>
      </c>
      <c r="D6" s="8">
        <v>638</v>
      </c>
      <c r="E6" s="38">
        <f>GETPIVOTDATA("Attrition",$A$3,"Age",28,"Attrition","Yes")/GETPIVOTDATA("Attrition",$A$3)</f>
        <v>7.6870748299319724E-2</v>
      </c>
    </row>
    <row r="7" spans="1:5" x14ac:dyDescent="0.35">
      <c r="A7" s="7" t="s">
        <v>88</v>
      </c>
      <c r="B7" s="8">
        <v>368</v>
      </c>
      <c r="C7" s="8">
        <v>38</v>
      </c>
      <c r="D7" s="8">
        <v>406</v>
      </c>
      <c r="E7" s="38">
        <f>GETPIVOTDATA("Attrition",$A$3,"Age",38,"Attrition","Yes")/GETPIVOTDATA("Attrition",$A$3)</f>
        <v>2.5850340136054421E-2</v>
      </c>
    </row>
    <row r="8" spans="1:5" x14ac:dyDescent="0.35">
      <c r="A8" s="7" t="s">
        <v>89</v>
      </c>
      <c r="B8" s="8">
        <v>165</v>
      </c>
      <c r="C8" s="8">
        <v>22</v>
      </c>
      <c r="D8" s="8">
        <v>187</v>
      </c>
      <c r="E8" s="38">
        <f>GETPIVOTDATA("Attrition",$A$3,"Age",48,"Attrition","Yes")/GETPIVOTDATA("Attrition",$A$3)</f>
        <v>1.4965986394557823E-2</v>
      </c>
    </row>
    <row r="9" spans="1:5" x14ac:dyDescent="0.35">
      <c r="A9" s="7" t="s">
        <v>90</v>
      </c>
      <c r="B9" s="8">
        <v>24</v>
      </c>
      <c r="C9" s="8">
        <v>5</v>
      </c>
      <c r="D9" s="8">
        <v>29</v>
      </c>
      <c r="E9" s="38">
        <f>GETPIVOTDATA("Attrition",$A$3,"Age",58,"Attrition","Yes")/GETPIVOTDATA("Attrition",$A$3)</f>
        <v>3.4013605442176869E-3</v>
      </c>
    </row>
    <row r="10" spans="1:5" x14ac:dyDescent="0.35">
      <c r="A10" s="7" t="s">
        <v>62</v>
      </c>
      <c r="B10" s="8">
        <v>1233</v>
      </c>
      <c r="C10" s="8">
        <v>237</v>
      </c>
      <c r="D10" s="8">
        <v>1470</v>
      </c>
      <c r="E10" s="39">
        <f>SUM(E5:E9)</f>
        <v>0.16122448979591836</v>
      </c>
    </row>
    <row r="12" spans="1:5" x14ac:dyDescent="0.35">
      <c r="A12" s="7" t="s">
        <v>105</v>
      </c>
      <c r="B12" t="s">
        <v>106</v>
      </c>
    </row>
    <row r="13" spans="1:5" x14ac:dyDescent="0.35">
      <c r="A13" s="7" t="s">
        <v>86</v>
      </c>
      <c r="B13" s="38">
        <f>GETPIVOTDATA("Attrition",$A$3,"Age",18,"Attrition","Yes")/GETPIVOTDATA("Attrition",$A$3)</f>
        <v>4.0136054421768708E-2</v>
      </c>
      <c r="E13" s="38"/>
    </row>
    <row r="14" spans="1:5" x14ac:dyDescent="0.35">
      <c r="A14" s="7" t="s">
        <v>87</v>
      </c>
      <c r="B14" s="38">
        <f>GETPIVOTDATA("Attrition",$A$3,"Age",28,"Attrition","Yes")/GETPIVOTDATA("Attrition",$A$3)</f>
        <v>7.6870748299319724E-2</v>
      </c>
      <c r="E14" s="38"/>
    </row>
    <row r="15" spans="1:5" x14ac:dyDescent="0.35">
      <c r="A15" s="7" t="s">
        <v>88</v>
      </c>
      <c r="B15" s="38">
        <f>GETPIVOTDATA("Attrition",$A$3,"Age",38,"Attrition","Yes")/GETPIVOTDATA("Attrition",$A$3)</f>
        <v>2.5850340136054421E-2</v>
      </c>
      <c r="E15" s="38"/>
    </row>
    <row r="16" spans="1:5" x14ac:dyDescent="0.35">
      <c r="A16" s="7" t="s">
        <v>89</v>
      </c>
      <c r="B16" s="38">
        <f>GETPIVOTDATA("Attrition",$A$3,"Age",48,"Attrition","Yes")/GETPIVOTDATA("Attrition",$A$3)</f>
        <v>1.4965986394557823E-2</v>
      </c>
      <c r="E16" s="38"/>
    </row>
    <row r="17" spans="1:6" x14ac:dyDescent="0.35">
      <c r="A17" s="7" t="s">
        <v>90</v>
      </c>
      <c r="B17" s="38">
        <f>GETPIVOTDATA("Attrition",$A$3,"Age",58,"Attrition","Yes")/GETPIVOTDATA("Attrition",$A$3)</f>
        <v>3.4013605442176869E-3</v>
      </c>
      <c r="E17" s="38"/>
    </row>
    <row r="19" spans="1:6" x14ac:dyDescent="0.35">
      <c r="E19" s="6" t="s">
        <v>105</v>
      </c>
      <c r="F19" t="s">
        <v>77</v>
      </c>
    </row>
    <row r="20" spans="1:6" x14ac:dyDescent="0.35">
      <c r="E20" s="7" t="s">
        <v>86</v>
      </c>
      <c r="F20" s="21">
        <v>3354.9190476190474</v>
      </c>
    </row>
    <row r="21" spans="1:6" x14ac:dyDescent="0.35">
      <c r="E21" s="7" t="s">
        <v>87</v>
      </c>
      <c r="F21" s="21">
        <v>5182.3699059561131</v>
      </c>
    </row>
    <row r="22" spans="1:6" x14ac:dyDescent="0.35">
      <c r="E22" s="7" t="s">
        <v>88</v>
      </c>
      <c r="F22" s="21">
        <v>7977.5394088669955</v>
      </c>
    </row>
    <row r="23" spans="1:6" x14ac:dyDescent="0.35">
      <c r="E23" s="7" t="s">
        <v>89</v>
      </c>
      <c r="F23" s="21">
        <v>10844.604278074867</v>
      </c>
    </row>
    <row r="24" spans="1:6" x14ac:dyDescent="0.35">
      <c r="E24" s="7" t="s">
        <v>90</v>
      </c>
      <c r="F24" s="21">
        <v>9710.4137931034475</v>
      </c>
    </row>
    <row r="25" spans="1:6" x14ac:dyDescent="0.35">
      <c r="E25" s="7" t="s">
        <v>62</v>
      </c>
      <c r="F25" s="8">
        <v>6502.931292517007</v>
      </c>
    </row>
    <row r="31" spans="1:6" x14ac:dyDescent="0.35">
      <c r="E31" s="45" t="s">
        <v>105</v>
      </c>
      <c r="F31" s="45" t="s">
        <v>107</v>
      </c>
    </row>
    <row r="32" spans="1:6" x14ac:dyDescent="0.35">
      <c r="E32" s="7" t="s">
        <v>86</v>
      </c>
      <c r="F32" s="21">
        <v>3354.9190476190474</v>
      </c>
    </row>
    <row r="33" spans="5:6" x14ac:dyDescent="0.35">
      <c r="E33" s="7" t="s">
        <v>87</v>
      </c>
      <c r="F33" s="21">
        <v>5182.3699059561131</v>
      </c>
    </row>
    <row r="34" spans="5:6" x14ac:dyDescent="0.35">
      <c r="E34" s="7" t="s">
        <v>88</v>
      </c>
      <c r="F34" s="21">
        <v>7977.5394088669955</v>
      </c>
    </row>
    <row r="35" spans="5:6" x14ac:dyDescent="0.35">
      <c r="E35" s="7" t="s">
        <v>89</v>
      </c>
      <c r="F35" s="21">
        <v>10844.604278074867</v>
      </c>
    </row>
    <row r="36" spans="5:6" x14ac:dyDescent="0.35">
      <c r="E36" s="7" t="s">
        <v>90</v>
      </c>
      <c r="F36" s="21">
        <v>9710.4137931034475</v>
      </c>
    </row>
  </sheetData>
  <conditionalFormatting sqref="E31:F36">
    <cfRule type="dataBar" priority="1">
      <dataBar>
        <cfvo type="min"/>
        <cfvo type="max"/>
        <color rgb="FF63C384"/>
      </dataBar>
      <extLst>
        <ext xmlns:x14="http://schemas.microsoft.com/office/spreadsheetml/2009/9/main" uri="{B025F937-C7B1-47D3-B67F-A62EFF666E3E}">
          <x14:id>{98EA4CB7-9D92-49E7-B85C-8F43678ED509}</x14:id>
        </ext>
      </extLst>
    </cfRule>
  </conditionalFormatting>
  <pageMargins left="0.7" right="0.7" top="0.75" bottom="0.75" header="0.3" footer="0.3"/>
  <pageSetup orientation="portrait" r:id="rId3"/>
  <drawing r:id="rId4"/>
  <extLst>
    <ext xmlns:x14="http://schemas.microsoft.com/office/spreadsheetml/2009/9/main" uri="{78C0D931-6437-407d-A8EE-F0AAD7539E65}">
      <x14:conditionalFormattings>
        <x14:conditionalFormatting xmlns:xm="http://schemas.microsoft.com/office/excel/2006/main">
          <x14:cfRule type="dataBar" id="{98EA4CB7-9D92-49E7-B85C-8F43678ED509}">
            <x14:dataBar minLength="0" maxLength="100" gradient="0">
              <x14:cfvo type="autoMin"/>
              <x14:cfvo type="autoMax"/>
              <x14:negativeFillColor rgb="FFFF0000"/>
              <x14:axisColor rgb="FF000000"/>
            </x14:dataBar>
          </x14:cfRule>
          <xm:sqref>E31:F36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38"/>
  <sheetViews>
    <sheetView workbookViewId="0">
      <selection activeCell="G13" sqref="G13"/>
    </sheetView>
  </sheetViews>
  <sheetFormatPr defaultRowHeight="14.5" x14ac:dyDescent="0.35"/>
  <cols>
    <col min="1" max="1" width="22.08984375" style="21" customWidth="1"/>
    <col min="2" max="2" width="15.26953125" bestFit="1" customWidth="1"/>
    <col min="3" max="3" width="10.7265625" customWidth="1"/>
    <col min="4" max="4" width="12.7265625" customWidth="1"/>
    <col min="5" max="5" width="12.36328125" customWidth="1"/>
    <col min="6" max="6" width="23.7265625" bestFit="1" customWidth="1"/>
    <col min="7" max="7" width="12.7265625" bestFit="1" customWidth="1"/>
    <col min="8" max="1073" width="4.81640625" customWidth="1"/>
    <col min="1074" max="1350" width="5.81640625" customWidth="1"/>
    <col min="1351" max="1351" width="10.7265625" bestFit="1" customWidth="1"/>
  </cols>
  <sheetData>
    <row r="3" spans="1:6" x14ac:dyDescent="0.35">
      <c r="A3" s="41" t="s">
        <v>92</v>
      </c>
      <c r="B3" s="6" t="s">
        <v>83</v>
      </c>
    </row>
    <row r="4" spans="1:6" x14ac:dyDescent="0.35">
      <c r="A4" s="41" t="s">
        <v>103</v>
      </c>
      <c r="B4" t="s">
        <v>104</v>
      </c>
      <c r="C4" t="s">
        <v>62</v>
      </c>
      <c r="E4" s="50" t="s">
        <v>93</v>
      </c>
      <c r="F4" s="50"/>
    </row>
    <row r="5" spans="1:6" x14ac:dyDescent="0.35">
      <c r="A5" s="7" t="s">
        <v>94</v>
      </c>
      <c r="B5" s="40">
        <v>113</v>
      </c>
      <c r="C5" s="40">
        <v>113</v>
      </c>
      <c r="E5" s="6" t="s">
        <v>82</v>
      </c>
      <c r="F5" t="s">
        <v>77</v>
      </c>
    </row>
    <row r="6" spans="1:6" x14ac:dyDescent="0.35">
      <c r="A6" s="7" t="s">
        <v>95</v>
      </c>
      <c r="B6" s="40">
        <v>50</v>
      </c>
      <c r="C6" s="40">
        <v>50</v>
      </c>
      <c r="E6" s="7" t="s">
        <v>43</v>
      </c>
      <c r="F6" s="40">
        <v>6832.7396593673966</v>
      </c>
    </row>
    <row r="7" spans="1:6" x14ac:dyDescent="0.35">
      <c r="A7" s="7" t="s">
        <v>96</v>
      </c>
      <c r="B7" s="40">
        <v>27</v>
      </c>
      <c r="C7" s="40">
        <v>27</v>
      </c>
      <c r="E7" s="7" t="s">
        <v>35</v>
      </c>
      <c r="F7" s="40">
        <v>4787.0928270042195</v>
      </c>
    </row>
    <row r="8" spans="1:6" x14ac:dyDescent="0.35">
      <c r="A8" s="7" t="s">
        <v>97</v>
      </c>
      <c r="B8" s="40">
        <v>13</v>
      </c>
      <c r="C8" s="40">
        <v>13</v>
      </c>
      <c r="E8" s="7" t="s">
        <v>62</v>
      </c>
      <c r="F8" s="40">
        <v>6502.931292517007</v>
      </c>
    </row>
    <row r="9" spans="1:6" x14ac:dyDescent="0.35">
      <c r="A9" s="7" t="s">
        <v>98</v>
      </c>
      <c r="B9" s="40">
        <v>22</v>
      </c>
      <c r="C9" s="40">
        <v>22</v>
      </c>
    </row>
    <row r="10" spans="1:6" x14ac:dyDescent="0.35">
      <c r="A10" s="7" t="s">
        <v>99</v>
      </c>
      <c r="B10" s="40">
        <v>3</v>
      </c>
      <c r="C10" s="40">
        <v>3</v>
      </c>
    </row>
    <row r="11" spans="1:6" x14ac:dyDescent="0.35">
      <c r="A11" s="7" t="s">
        <v>100</v>
      </c>
      <c r="B11" s="40">
        <v>4</v>
      </c>
      <c r="C11" s="40">
        <v>4</v>
      </c>
    </row>
    <row r="12" spans="1:6" x14ac:dyDescent="0.35">
      <c r="A12" s="7" t="s">
        <v>101</v>
      </c>
      <c r="B12" s="40">
        <v>1</v>
      </c>
      <c r="C12" s="40">
        <v>1</v>
      </c>
    </row>
    <row r="13" spans="1:6" x14ac:dyDescent="0.35">
      <c r="A13" s="7" t="s">
        <v>102</v>
      </c>
      <c r="B13" s="40">
        <v>4</v>
      </c>
      <c r="C13" s="40">
        <v>4</v>
      </c>
    </row>
    <row r="14" spans="1:6" x14ac:dyDescent="0.35">
      <c r="A14" s="42" t="s">
        <v>62</v>
      </c>
      <c r="B14" s="40">
        <v>237</v>
      </c>
      <c r="C14" s="40">
        <v>237</v>
      </c>
    </row>
    <row r="15" spans="1:6" x14ac:dyDescent="0.35">
      <c r="A15"/>
    </row>
    <row r="16" spans="1:6" x14ac:dyDescent="0.35">
      <c r="A16"/>
    </row>
    <row r="17" spans="1:1" x14ac:dyDescent="0.35">
      <c r="A17"/>
    </row>
    <row r="18" spans="1:1" x14ac:dyDescent="0.35">
      <c r="A18"/>
    </row>
    <row r="19" spans="1:1" x14ac:dyDescent="0.35">
      <c r="A19"/>
    </row>
    <row r="20" spans="1:1" x14ac:dyDescent="0.35">
      <c r="A20"/>
    </row>
    <row r="21" spans="1:1" x14ac:dyDescent="0.35">
      <c r="A21"/>
    </row>
    <row r="22" spans="1:1" x14ac:dyDescent="0.35">
      <c r="A22"/>
    </row>
    <row r="23" spans="1:1" x14ac:dyDescent="0.35">
      <c r="A23"/>
    </row>
    <row r="24" spans="1:1" x14ac:dyDescent="0.35">
      <c r="A24"/>
    </row>
    <row r="25" spans="1:1" x14ac:dyDescent="0.35">
      <c r="A25"/>
    </row>
    <row r="26" spans="1:1" x14ac:dyDescent="0.35">
      <c r="A26"/>
    </row>
    <row r="27" spans="1:1" x14ac:dyDescent="0.35">
      <c r="A27"/>
    </row>
    <row r="28" spans="1:1" x14ac:dyDescent="0.35">
      <c r="A28"/>
    </row>
    <row r="29" spans="1:1" x14ac:dyDescent="0.35">
      <c r="A29"/>
    </row>
    <row r="30" spans="1:1" x14ac:dyDescent="0.35">
      <c r="A30"/>
    </row>
    <row r="31" spans="1:1" x14ac:dyDescent="0.35">
      <c r="A31"/>
    </row>
    <row r="32" spans="1:1" x14ac:dyDescent="0.35">
      <c r="A32"/>
    </row>
    <row r="33" spans="1:1" x14ac:dyDescent="0.35">
      <c r="A33"/>
    </row>
    <row r="34" spans="1:1" x14ac:dyDescent="0.35">
      <c r="A34"/>
    </row>
    <row r="35" spans="1:1" x14ac:dyDescent="0.35">
      <c r="A35"/>
    </row>
    <row r="36" spans="1:1" x14ac:dyDescent="0.35">
      <c r="A36"/>
    </row>
    <row r="37" spans="1:1" x14ac:dyDescent="0.35">
      <c r="A37"/>
    </row>
    <row r="38" spans="1:1" x14ac:dyDescent="0.35">
      <c r="A38"/>
    </row>
    <row r="39" spans="1:1" x14ac:dyDescent="0.35">
      <c r="A39"/>
    </row>
    <row r="40" spans="1:1" x14ac:dyDescent="0.35">
      <c r="A40"/>
    </row>
    <row r="41" spans="1:1" x14ac:dyDescent="0.35">
      <c r="A41"/>
    </row>
    <row r="42" spans="1:1" x14ac:dyDescent="0.35">
      <c r="A42"/>
    </row>
    <row r="43" spans="1:1" x14ac:dyDescent="0.35">
      <c r="A43"/>
    </row>
    <row r="44" spans="1:1" x14ac:dyDescent="0.35">
      <c r="A44"/>
    </row>
    <row r="45" spans="1:1" x14ac:dyDescent="0.35">
      <c r="A45"/>
    </row>
    <row r="46" spans="1:1" x14ac:dyDescent="0.35">
      <c r="A46"/>
    </row>
    <row r="47" spans="1:1" x14ac:dyDescent="0.35">
      <c r="A47"/>
    </row>
    <row r="48" spans="1:1" x14ac:dyDescent="0.35">
      <c r="A48"/>
    </row>
    <row r="49" spans="1:1" x14ac:dyDescent="0.35">
      <c r="A49"/>
    </row>
    <row r="50" spans="1:1" x14ac:dyDescent="0.35">
      <c r="A50"/>
    </row>
    <row r="51" spans="1:1" x14ac:dyDescent="0.35">
      <c r="A51"/>
    </row>
    <row r="52" spans="1:1" x14ac:dyDescent="0.35">
      <c r="A52"/>
    </row>
    <row r="53" spans="1:1" x14ac:dyDescent="0.35">
      <c r="A53"/>
    </row>
    <row r="54" spans="1:1" x14ac:dyDescent="0.35">
      <c r="A54"/>
    </row>
    <row r="55" spans="1:1" x14ac:dyDescent="0.35">
      <c r="A55"/>
    </row>
    <row r="56" spans="1:1" x14ac:dyDescent="0.35">
      <c r="A56"/>
    </row>
    <row r="57" spans="1:1" x14ac:dyDescent="0.35">
      <c r="A57"/>
    </row>
    <row r="58" spans="1:1" x14ac:dyDescent="0.35">
      <c r="A58"/>
    </row>
    <row r="59" spans="1:1" x14ac:dyDescent="0.35">
      <c r="A59"/>
    </row>
    <row r="60" spans="1:1" x14ac:dyDescent="0.35">
      <c r="A60"/>
    </row>
    <row r="61" spans="1:1" x14ac:dyDescent="0.35">
      <c r="A61"/>
    </row>
    <row r="62" spans="1:1" x14ac:dyDescent="0.35">
      <c r="A62"/>
    </row>
    <row r="63" spans="1:1" x14ac:dyDescent="0.35">
      <c r="A63"/>
    </row>
    <row r="64" spans="1:1" x14ac:dyDescent="0.35">
      <c r="A64"/>
    </row>
    <row r="65" spans="1:1" x14ac:dyDescent="0.35">
      <c r="A65"/>
    </row>
    <row r="66" spans="1:1" x14ac:dyDescent="0.35">
      <c r="A66"/>
    </row>
    <row r="67" spans="1:1" x14ac:dyDescent="0.35">
      <c r="A67"/>
    </row>
    <row r="68" spans="1:1" x14ac:dyDescent="0.35">
      <c r="A68"/>
    </row>
    <row r="69" spans="1:1" x14ac:dyDescent="0.35">
      <c r="A69"/>
    </row>
    <row r="70" spans="1:1" x14ac:dyDescent="0.35">
      <c r="A70"/>
    </row>
    <row r="71" spans="1:1" x14ac:dyDescent="0.35">
      <c r="A71"/>
    </row>
    <row r="72" spans="1:1" x14ac:dyDescent="0.35">
      <c r="A72"/>
    </row>
    <row r="73" spans="1:1" x14ac:dyDescent="0.35">
      <c r="A73"/>
    </row>
    <row r="74" spans="1:1" x14ac:dyDescent="0.35">
      <c r="A74"/>
    </row>
    <row r="75" spans="1:1" x14ac:dyDescent="0.35">
      <c r="A75"/>
    </row>
    <row r="76" spans="1:1" x14ac:dyDescent="0.35">
      <c r="A76"/>
    </row>
    <row r="77" spans="1:1" x14ac:dyDescent="0.35">
      <c r="A77"/>
    </row>
    <row r="78" spans="1:1" x14ac:dyDescent="0.35">
      <c r="A78"/>
    </row>
    <row r="79" spans="1:1" x14ac:dyDescent="0.35">
      <c r="A79"/>
    </row>
    <row r="80" spans="1:1" x14ac:dyDescent="0.35">
      <c r="A80"/>
    </row>
    <row r="81" spans="1:1" x14ac:dyDescent="0.35">
      <c r="A81"/>
    </row>
    <row r="82" spans="1:1" x14ac:dyDescent="0.35">
      <c r="A82"/>
    </row>
    <row r="83" spans="1:1" x14ac:dyDescent="0.35">
      <c r="A83"/>
    </row>
    <row r="84" spans="1:1" x14ac:dyDescent="0.35">
      <c r="A84"/>
    </row>
    <row r="85" spans="1:1" x14ac:dyDescent="0.35">
      <c r="A85"/>
    </row>
    <row r="86" spans="1:1" x14ac:dyDescent="0.35">
      <c r="A86"/>
    </row>
    <row r="87" spans="1:1" x14ac:dyDescent="0.35">
      <c r="A87"/>
    </row>
    <row r="88" spans="1:1" x14ac:dyDescent="0.35">
      <c r="A88"/>
    </row>
    <row r="89" spans="1:1" x14ac:dyDescent="0.35">
      <c r="A89"/>
    </row>
    <row r="90" spans="1:1" x14ac:dyDescent="0.35">
      <c r="A90"/>
    </row>
    <row r="91" spans="1:1" x14ac:dyDescent="0.35">
      <c r="A91"/>
    </row>
    <row r="92" spans="1:1" x14ac:dyDescent="0.35">
      <c r="A92"/>
    </row>
    <row r="93" spans="1:1" x14ac:dyDescent="0.35">
      <c r="A93"/>
    </row>
    <row r="94" spans="1:1" x14ac:dyDescent="0.35">
      <c r="A94"/>
    </row>
    <row r="95" spans="1:1" x14ac:dyDescent="0.35">
      <c r="A95"/>
    </row>
    <row r="96" spans="1:1" x14ac:dyDescent="0.35">
      <c r="A96"/>
    </row>
    <row r="97" spans="1:1" x14ac:dyDescent="0.35">
      <c r="A97"/>
    </row>
    <row r="98" spans="1:1" x14ac:dyDescent="0.35">
      <c r="A98"/>
    </row>
    <row r="99" spans="1:1" x14ac:dyDescent="0.35">
      <c r="A99"/>
    </row>
    <row r="100" spans="1:1" x14ac:dyDescent="0.35">
      <c r="A100"/>
    </row>
    <row r="101" spans="1:1" x14ac:dyDescent="0.35">
      <c r="A101"/>
    </row>
    <row r="102" spans="1:1" x14ac:dyDescent="0.35">
      <c r="A102"/>
    </row>
    <row r="103" spans="1:1" x14ac:dyDescent="0.35">
      <c r="A103"/>
    </row>
    <row r="104" spans="1:1" x14ac:dyDescent="0.35">
      <c r="A104"/>
    </row>
    <row r="105" spans="1:1" x14ac:dyDescent="0.35">
      <c r="A105"/>
    </row>
    <row r="106" spans="1:1" x14ac:dyDescent="0.35">
      <c r="A106"/>
    </row>
    <row r="107" spans="1:1" x14ac:dyDescent="0.35">
      <c r="A107"/>
    </row>
    <row r="108" spans="1:1" x14ac:dyDescent="0.35">
      <c r="A108"/>
    </row>
    <row r="109" spans="1:1" x14ac:dyDescent="0.35">
      <c r="A109"/>
    </row>
    <row r="110" spans="1:1" x14ac:dyDescent="0.35">
      <c r="A110"/>
    </row>
    <row r="111" spans="1:1" x14ac:dyDescent="0.35">
      <c r="A111"/>
    </row>
    <row r="112" spans="1:1" x14ac:dyDescent="0.35">
      <c r="A112"/>
    </row>
    <row r="113" spans="1:1" x14ac:dyDescent="0.35">
      <c r="A113"/>
    </row>
    <row r="114" spans="1:1" x14ac:dyDescent="0.35">
      <c r="A114"/>
    </row>
    <row r="115" spans="1:1" x14ac:dyDescent="0.35">
      <c r="A115"/>
    </row>
    <row r="116" spans="1:1" x14ac:dyDescent="0.35">
      <c r="A116"/>
    </row>
    <row r="117" spans="1:1" x14ac:dyDescent="0.35">
      <c r="A117"/>
    </row>
    <row r="118" spans="1:1" x14ac:dyDescent="0.35">
      <c r="A118"/>
    </row>
    <row r="119" spans="1:1" x14ac:dyDescent="0.35">
      <c r="A119"/>
    </row>
    <row r="120" spans="1:1" x14ac:dyDescent="0.35">
      <c r="A120"/>
    </row>
    <row r="121" spans="1:1" x14ac:dyDescent="0.35">
      <c r="A121"/>
    </row>
    <row r="122" spans="1:1" x14ac:dyDescent="0.35">
      <c r="A122"/>
    </row>
    <row r="123" spans="1:1" x14ac:dyDescent="0.35">
      <c r="A123"/>
    </row>
    <row r="124" spans="1:1" x14ac:dyDescent="0.35">
      <c r="A124"/>
    </row>
    <row r="125" spans="1:1" x14ac:dyDescent="0.35">
      <c r="A125"/>
    </row>
    <row r="126" spans="1:1" x14ac:dyDescent="0.35">
      <c r="A126"/>
    </row>
    <row r="127" spans="1:1" x14ac:dyDescent="0.35">
      <c r="A127"/>
    </row>
    <row r="128" spans="1:1" x14ac:dyDescent="0.35">
      <c r="A128"/>
    </row>
    <row r="129" spans="1:1" x14ac:dyDescent="0.35">
      <c r="A129"/>
    </row>
    <row r="130" spans="1:1" x14ac:dyDescent="0.35">
      <c r="A130"/>
    </row>
    <row r="131" spans="1:1" x14ac:dyDescent="0.35">
      <c r="A131"/>
    </row>
    <row r="132" spans="1:1" x14ac:dyDescent="0.35">
      <c r="A132"/>
    </row>
    <row r="133" spans="1:1" x14ac:dyDescent="0.35">
      <c r="A133"/>
    </row>
    <row r="134" spans="1:1" x14ac:dyDescent="0.35">
      <c r="A134"/>
    </row>
    <row r="135" spans="1:1" x14ac:dyDescent="0.35">
      <c r="A135"/>
    </row>
    <row r="136" spans="1:1" x14ac:dyDescent="0.35">
      <c r="A136"/>
    </row>
    <row r="137" spans="1:1" x14ac:dyDescent="0.35">
      <c r="A137"/>
    </row>
    <row r="138" spans="1:1" x14ac:dyDescent="0.35">
      <c r="A138"/>
    </row>
    <row r="139" spans="1:1" x14ac:dyDescent="0.35">
      <c r="A139"/>
    </row>
    <row r="140" spans="1:1" x14ac:dyDescent="0.35">
      <c r="A140"/>
    </row>
    <row r="141" spans="1:1" x14ac:dyDescent="0.35">
      <c r="A141"/>
    </row>
    <row r="142" spans="1:1" x14ac:dyDescent="0.35">
      <c r="A142"/>
    </row>
    <row r="143" spans="1:1" x14ac:dyDescent="0.35">
      <c r="A143"/>
    </row>
    <row r="144" spans="1:1" x14ac:dyDescent="0.35">
      <c r="A144"/>
    </row>
    <row r="145" spans="1:1" x14ac:dyDescent="0.35">
      <c r="A145"/>
    </row>
    <row r="146" spans="1:1" x14ac:dyDescent="0.35">
      <c r="A146"/>
    </row>
    <row r="147" spans="1:1" x14ac:dyDescent="0.35">
      <c r="A147"/>
    </row>
    <row r="148" spans="1:1" x14ac:dyDescent="0.35">
      <c r="A148"/>
    </row>
    <row r="149" spans="1:1" x14ac:dyDescent="0.35">
      <c r="A149"/>
    </row>
    <row r="150" spans="1:1" x14ac:dyDescent="0.35">
      <c r="A150"/>
    </row>
    <row r="151" spans="1:1" x14ac:dyDescent="0.35">
      <c r="A151"/>
    </row>
    <row r="152" spans="1:1" x14ac:dyDescent="0.35">
      <c r="A152"/>
    </row>
    <row r="153" spans="1:1" x14ac:dyDescent="0.35">
      <c r="A153"/>
    </row>
    <row r="154" spans="1:1" x14ac:dyDescent="0.35">
      <c r="A154"/>
    </row>
    <row r="155" spans="1:1" x14ac:dyDescent="0.35">
      <c r="A155"/>
    </row>
    <row r="156" spans="1:1" x14ac:dyDescent="0.35">
      <c r="A156"/>
    </row>
    <row r="157" spans="1:1" x14ac:dyDescent="0.35">
      <c r="A157"/>
    </row>
    <row r="158" spans="1:1" x14ac:dyDescent="0.35">
      <c r="A158"/>
    </row>
    <row r="159" spans="1:1" x14ac:dyDescent="0.35">
      <c r="A159"/>
    </row>
    <row r="160" spans="1:1" x14ac:dyDescent="0.35">
      <c r="A160"/>
    </row>
    <row r="161" spans="1:1" x14ac:dyDescent="0.35">
      <c r="A161"/>
    </row>
    <row r="162" spans="1:1" x14ac:dyDescent="0.35">
      <c r="A162"/>
    </row>
    <row r="163" spans="1:1" x14ac:dyDescent="0.35">
      <c r="A163"/>
    </row>
    <row r="164" spans="1:1" x14ac:dyDescent="0.35">
      <c r="A164"/>
    </row>
    <row r="165" spans="1:1" x14ac:dyDescent="0.35">
      <c r="A165"/>
    </row>
    <row r="166" spans="1:1" x14ac:dyDescent="0.35">
      <c r="A166"/>
    </row>
    <row r="167" spans="1:1" x14ac:dyDescent="0.35">
      <c r="A167"/>
    </row>
    <row r="168" spans="1:1" x14ac:dyDescent="0.35">
      <c r="A168"/>
    </row>
    <row r="169" spans="1:1" x14ac:dyDescent="0.35">
      <c r="A169"/>
    </row>
    <row r="170" spans="1:1" x14ac:dyDescent="0.35">
      <c r="A170"/>
    </row>
    <row r="171" spans="1:1" x14ac:dyDescent="0.35">
      <c r="A171"/>
    </row>
    <row r="172" spans="1:1" x14ac:dyDescent="0.35">
      <c r="A172"/>
    </row>
    <row r="173" spans="1:1" x14ac:dyDescent="0.35">
      <c r="A173"/>
    </row>
    <row r="174" spans="1:1" x14ac:dyDescent="0.35">
      <c r="A174"/>
    </row>
    <row r="175" spans="1:1" x14ac:dyDescent="0.35">
      <c r="A175"/>
    </row>
    <row r="176" spans="1:1" x14ac:dyDescent="0.35">
      <c r="A176"/>
    </row>
    <row r="177" spans="1:1" x14ac:dyDescent="0.35">
      <c r="A177"/>
    </row>
    <row r="178" spans="1:1" x14ac:dyDescent="0.35">
      <c r="A178"/>
    </row>
    <row r="179" spans="1:1" x14ac:dyDescent="0.35">
      <c r="A179"/>
    </row>
    <row r="180" spans="1:1" x14ac:dyDescent="0.35">
      <c r="A180"/>
    </row>
    <row r="181" spans="1:1" x14ac:dyDescent="0.35">
      <c r="A181"/>
    </row>
    <row r="182" spans="1:1" x14ac:dyDescent="0.35">
      <c r="A182"/>
    </row>
    <row r="183" spans="1:1" x14ac:dyDescent="0.35">
      <c r="A183"/>
    </row>
    <row r="184" spans="1:1" x14ac:dyDescent="0.35">
      <c r="A184"/>
    </row>
    <row r="185" spans="1:1" x14ac:dyDescent="0.35">
      <c r="A185"/>
    </row>
    <row r="186" spans="1:1" x14ac:dyDescent="0.35">
      <c r="A186"/>
    </row>
    <row r="187" spans="1:1" x14ac:dyDescent="0.35">
      <c r="A187"/>
    </row>
    <row r="188" spans="1:1" x14ac:dyDescent="0.35">
      <c r="A188"/>
    </row>
    <row r="189" spans="1:1" x14ac:dyDescent="0.35">
      <c r="A189"/>
    </row>
    <row r="190" spans="1:1" x14ac:dyDescent="0.35">
      <c r="A190"/>
    </row>
    <row r="191" spans="1:1" x14ac:dyDescent="0.35">
      <c r="A191"/>
    </row>
    <row r="192" spans="1:1" x14ac:dyDescent="0.35">
      <c r="A192"/>
    </row>
    <row r="193" spans="1:1" x14ac:dyDescent="0.35">
      <c r="A193"/>
    </row>
    <row r="194" spans="1:1" x14ac:dyDescent="0.35">
      <c r="A194"/>
    </row>
    <row r="195" spans="1:1" x14ac:dyDescent="0.35">
      <c r="A195"/>
    </row>
    <row r="196" spans="1:1" x14ac:dyDescent="0.35">
      <c r="A196"/>
    </row>
    <row r="197" spans="1:1" x14ac:dyDescent="0.35">
      <c r="A197"/>
    </row>
    <row r="198" spans="1:1" x14ac:dyDescent="0.35">
      <c r="A198"/>
    </row>
    <row r="199" spans="1:1" x14ac:dyDescent="0.35">
      <c r="A199"/>
    </row>
    <row r="200" spans="1:1" x14ac:dyDescent="0.35">
      <c r="A200"/>
    </row>
    <row r="201" spans="1:1" x14ac:dyDescent="0.35">
      <c r="A201"/>
    </row>
    <row r="202" spans="1:1" x14ac:dyDescent="0.35">
      <c r="A202"/>
    </row>
    <row r="203" spans="1:1" x14ac:dyDescent="0.35">
      <c r="A203"/>
    </row>
    <row r="204" spans="1:1" x14ac:dyDescent="0.35">
      <c r="A204"/>
    </row>
    <row r="205" spans="1:1" x14ac:dyDescent="0.35">
      <c r="A205"/>
    </row>
    <row r="206" spans="1:1" x14ac:dyDescent="0.35">
      <c r="A206"/>
    </row>
    <row r="207" spans="1:1" x14ac:dyDescent="0.35">
      <c r="A207"/>
    </row>
    <row r="208" spans="1:1" x14ac:dyDescent="0.35">
      <c r="A208"/>
    </row>
    <row r="209" spans="1:1" x14ac:dyDescent="0.35">
      <c r="A209"/>
    </row>
    <row r="210" spans="1:1" x14ac:dyDescent="0.35">
      <c r="A210"/>
    </row>
    <row r="211" spans="1:1" x14ac:dyDescent="0.35">
      <c r="A211"/>
    </row>
    <row r="212" spans="1:1" x14ac:dyDescent="0.35">
      <c r="A212"/>
    </row>
    <row r="213" spans="1:1" x14ac:dyDescent="0.35">
      <c r="A213"/>
    </row>
    <row r="214" spans="1:1" x14ac:dyDescent="0.35">
      <c r="A214"/>
    </row>
    <row r="215" spans="1:1" x14ac:dyDescent="0.35">
      <c r="A215"/>
    </row>
    <row r="216" spans="1:1" x14ac:dyDescent="0.35">
      <c r="A216"/>
    </row>
    <row r="217" spans="1:1" x14ac:dyDescent="0.35">
      <c r="A217"/>
    </row>
    <row r="218" spans="1:1" x14ac:dyDescent="0.35">
      <c r="A218"/>
    </row>
    <row r="219" spans="1:1" x14ac:dyDescent="0.35">
      <c r="A219"/>
    </row>
    <row r="220" spans="1:1" x14ac:dyDescent="0.35">
      <c r="A220"/>
    </row>
    <row r="221" spans="1:1" x14ac:dyDescent="0.35">
      <c r="A221"/>
    </row>
    <row r="222" spans="1:1" x14ac:dyDescent="0.35">
      <c r="A222"/>
    </row>
    <row r="223" spans="1:1" x14ac:dyDescent="0.35">
      <c r="A223"/>
    </row>
    <row r="224" spans="1:1" x14ac:dyDescent="0.35">
      <c r="A224"/>
    </row>
    <row r="225" spans="1:1" x14ac:dyDescent="0.35">
      <c r="A225"/>
    </row>
    <row r="226" spans="1:1" x14ac:dyDescent="0.35">
      <c r="A226"/>
    </row>
    <row r="227" spans="1:1" x14ac:dyDescent="0.35">
      <c r="A227"/>
    </row>
    <row r="228" spans="1:1" x14ac:dyDescent="0.35">
      <c r="A228"/>
    </row>
    <row r="229" spans="1:1" x14ac:dyDescent="0.35">
      <c r="A229"/>
    </row>
    <row r="230" spans="1:1" x14ac:dyDescent="0.35">
      <c r="A230"/>
    </row>
    <row r="231" spans="1:1" x14ac:dyDescent="0.35">
      <c r="A231"/>
    </row>
    <row r="232" spans="1:1" x14ac:dyDescent="0.35">
      <c r="A232"/>
    </row>
    <row r="233" spans="1:1" x14ac:dyDescent="0.35">
      <c r="A233"/>
    </row>
    <row r="234" spans="1:1" x14ac:dyDescent="0.35">
      <c r="A234"/>
    </row>
    <row r="235" spans="1:1" x14ac:dyDescent="0.35">
      <c r="A235"/>
    </row>
    <row r="236" spans="1:1" x14ac:dyDescent="0.35">
      <c r="A236"/>
    </row>
    <row r="237" spans="1:1" x14ac:dyDescent="0.35">
      <c r="A237"/>
    </row>
    <row r="238" spans="1:1" x14ac:dyDescent="0.35">
      <c r="A238"/>
    </row>
  </sheetData>
  <mergeCells count="1">
    <mergeCell ref="E4:F4"/>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C4" sqref="C4"/>
    </sheetView>
  </sheetViews>
  <sheetFormatPr defaultRowHeight="14.5" x14ac:dyDescent="0.35"/>
  <cols>
    <col min="1" max="1" width="21.36328125" customWidth="1"/>
    <col min="2" max="2" width="15.26953125" hidden="1" customWidth="1"/>
    <col min="3" max="3" width="6.81640625" bestFit="1" customWidth="1"/>
    <col min="4" max="4" width="10.7265625" customWidth="1"/>
    <col min="5" max="5" width="2.81640625" customWidth="1"/>
    <col min="6" max="6" width="10.7265625" customWidth="1"/>
    <col min="7" max="7" width="15.81640625" bestFit="1" customWidth="1"/>
    <col min="8" max="8" width="21.36328125" bestFit="1" customWidth="1"/>
    <col min="9" max="9" width="15.81640625" bestFit="1" customWidth="1"/>
    <col min="10" max="10" width="26.1796875" bestFit="1" customWidth="1"/>
    <col min="11" max="11" width="20.6328125" bestFit="1" customWidth="1"/>
    <col min="12" max="12" width="10.7265625" bestFit="1" customWidth="1"/>
  </cols>
  <sheetData>
    <row r="1" spans="1:4" x14ac:dyDescent="0.35">
      <c r="A1" s="6" t="s">
        <v>4</v>
      </c>
      <c r="B1" t="s">
        <v>61</v>
      </c>
    </row>
    <row r="3" spans="1:4" x14ac:dyDescent="0.35">
      <c r="A3" s="6" t="s">
        <v>108</v>
      </c>
      <c r="B3" s="6" t="s">
        <v>83</v>
      </c>
    </row>
    <row r="4" spans="1:4" x14ac:dyDescent="0.35">
      <c r="A4" s="6" t="s">
        <v>82</v>
      </c>
      <c r="B4" t="s">
        <v>43</v>
      </c>
      <c r="C4" t="s">
        <v>35</v>
      </c>
      <c r="D4" t="s">
        <v>62</v>
      </c>
    </row>
    <row r="5" spans="1:4" x14ac:dyDescent="0.35">
      <c r="A5" s="7">
        <v>1</v>
      </c>
      <c r="B5" s="39">
        <v>0.54545454545454541</v>
      </c>
      <c r="C5" s="39">
        <v>0.45454545454545453</v>
      </c>
      <c r="D5" s="39">
        <v>1</v>
      </c>
    </row>
    <row r="6" spans="1:4" x14ac:dyDescent="0.35">
      <c r="A6" s="7">
        <v>2</v>
      </c>
      <c r="B6" s="39">
        <v>0.9</v>
      </c>
      <c r="C6" s="39">
        <v>0.1</v>
      </c>
      <c r="D6" s="39">
        <v>1</v>
      </c>
    </row>
    <row r="7" spans="1:4" x14ac:dyDescent="0.35">
      <c r="A7" s="7">
        <v>3</v>
      </c>
      <c r="B7" s="39">
        <v>0.8</v>
      </c>
      <c r="C7" s="39">
        <v>0.2</v>
      </c>
      <c r="D7" s="39">
        <v>1</v>
      </c>
    </row>
    <row r="8" spans="1:4" x14ac:dyDescent="0.35">
      <c r="A8" s="7">
        <v>4</v>
      </c>
      <c r="B8" s="39">
        <v>0.88235294117647056</v>
      </c>
      <c r="C8" s="39">
        <v>0.11764705882352941</v>
      </c>
      <c r="D8" s="39">
        <v>1</v>
      </c>
    </row>
    <row r="9" spans="1:4" x14ac:dyDescent="0.35">
      <c r="A9" s="7" t="s">
        <v>62</v>
      </c>
      <c r="B9" s="39">
        <v>0.80952380952380953</v>
      </c>
      <c r="C9" s="39">
        <v>0.19047619047619047</v>
      </c>
      <c r="D9" s="39">
        <v>1</v>
      </c>
    </row>
  </sheetData>
  <conditionalFormatting pivot="1" sqref="C5:C8">
    <cfRule type="dataBar" priority="2">
      <dataBar>
        <cfvo type="min"/>
        <cfvo type="max"/>
        <color rgb="FFFFB628"/>
      </dataBar>
      <extLst>
        <ext xmlns:x14="http://schemas.microsoft.com/office/spreadsheetml/2009/9/main" uri="{B025F937-C7B1-47D3-B67F-A62EFF666E3E}">
          <x14:id>{C4ECB789-8303-4BD5-8B45-379737FF8BA0}</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4ECB789-8303-4BD5-8B45-379737FF8BA0}">
            <x14:dataBar minLength="0" maxLength="100" gradient="0">
              <x14:cfvo type="autoMin"/>
              <x14:cfvo type="autoMax"/>
              <x14:negativeFillColor rgb="FFFF0000"/>
              <x14:axisColor rgb="FF000000"/>
            </x14:dataBar>
          </x14:cfRule>
          <xm:sqref>C5:C8</xm:sqref>
        </x14:conditionalFormatting>
      </x14:conditionalFormattings>
    </ex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8"/>
  <sheetViews>
    <sheetView workbookViewId="0">
      <selection activeCell="J10" sqref="J10"/>
    </sheetView>
  </sheetViews>
  <sheetFormatPr defaultRowHeight="14.5" x14ac:dyDescent="0.35"/>
  <cols>
    <col min="1" max="1" width="29.54296875" customWidth="1"/>
    <col min="2" max="2" width="15.26953125" customWidth="1"/>
    <col min="3" max="3" width="6.81640625" customWidth="1"/>
    <col min="4" max="4" width="10.7265625" customWidth="1"/>
    <col min="5" max="5" width="3.81640625" customWidth="1"/>
    <col min="6" max="6" width="10.7265625" bestFit="1" customWidth="1"/>
  </cols>
  <sheetData>
    <row r="3" spans="1:11" x14ac:dyDescent="0.35">
      <c r="A3" s="6" t="s">
        <v>109</v>
      </c>
      <c r="B3" s="6" t="s">
        <v>83</v>
      </c>
    </row>
    <row r="4" spans="1:11" x14ac:dyDescent="0.35">
      <c r="A4" s="6" t="s">
        <v>82</v>
      </c>
      <c r="B4" t="s">
        <v>43</v>
      </c>
      <c r="C4" t="s">
        <v>35</v>
      </c>
      <c r="D4" t="s">
        <v>62</v>
      </c>
    </row>
    <row r="5" spans="1:11" x14ac:dyDescent="0.35">
      <c r="A5" s="7">
        <v>1</v>
      </c>
      <c r="B5" s="39">
        <v>0.74647887323943662</v>
      </c>
      <c r="C5" s="39">
        <v>0.25352112676056338</v>
      </c>
      <c r="D5" s="39">
        <v>1</v>
      </c>
    </row>
    <row r="6" spans="1:11" x14ac:dyDescent="0.35">
      <c r="A6" s="7">
        <v>2</v>
      </c>
      <c r="B6" s="39">
        <v>0.85017421602787457</v>
      </c>
      <c r="C6" s="39">
        <v>0.14982578397212543</v>
      </c>
      <c r="D6" s="39">
        <v>1</v>
      </c>
      <c r="J6" s="47" t="s">
        <v>110</v>
      </c>
      <c r="K6" s="39">
        <v>0.25352112676056338</v>
      </c>
    </row>
    <row r="7" spans="1:11" x14ac:dyDescent="0.35">
      <c r="A7" s="7">
        <v>3</v>
      </c>
      <c r="B7" s="39">
        <v>0.86313465783664456</v>
      </c>
      <c r="C7" s="39">
        <v>0.13686534216335541</v>
      </c>
      <c r="D7" s="39">
        <v>1</v>
      </c>
      <c r="J7" s="47" t="s">
        <v>111</v>
      </c>
      <c r="K7" s="39">
        <v>0.14982578397212543</v>
      </c>
    </row>
    <row r="8" spans="1:11" x14ac:dyDescent="0.35">
      <c r="A8" s="7">
        <v>4</v>
      </c>
      <c r="B8" s="39">
        <v>0.86547085201793716</v>
      </c>
      <c r="C8" s="39">
        <v>0.13452914798206278</v>
      </c>
      <c r="D8" s="39">
        <v>1</v>
      </c>
      <c r="J8" s="47" t="s">
        <v>112</v>
      </c>
      <c r="K8" s="39">
        <v>0.13686534216335541</v>
      </c>
    </row>
    <row r="9" spans="1:11" x14ac:dyDescent="0.35">
      <c r="A9" s="7" t="s">
        <v>62</v>
      </c>
      <c r="B9" s="39">
        <v>0.83877551020408159</v>
      </c>
      <c r="C9" s="39">
        <v>0.16122448979591836</v>
      </c>
      <c r="D9" s="39">
        <v>1</v>
      </c>
      <c r="J9" s="47" t="s">
        <v>113</v>
      </c>
      <c r="K9" s="39">
        <v>0.13452914798206278</v>
      </c>
    </row>
    <row r="12" spans="1:11" x14ac:dyDescent="0.35">
      <c r="A12" s="6" t="s">
        <v>109</v>
      </c>
      <c r="B12" s="6" t="s">
        <v>83</v>
      </c>
    </row>
    <row r="13" spans="1:11" x14ac:dyDescent="0.35">
      <c r="A13" s="6" t="s">
        <v>82</v>
      </c>
      <c r="B13" t="s">
        <v>35</v>
      </c>
      <c r="C13" t="s">
        <v>62</v>
      </c>
    </row>
    <row r="14" spans="1:11" x14ac:dyDescent="0.35">
      <c r="A14" s="7">
        <v>1</v>
      </c>
      <c r="B14" s="8">
        <v>72</v>
      </c>
      <c r="C14" s="8">
        <v>72</v>
      </c>
    </row>
    <row r="15" spans="1:11" x14ac:dyDescent="0.35">
      <c r="A15" s="7">
        <v>2</v>
      </c>
      <c r="B15" s="8">
        <v>43</v>
      </c>
      <c r="C15" s="8">
        <v>43</v>
      </c>
    </row>
    <row r="16" spans="1:11" x14ac:dyDescent="0.35">
      <c r="A16" s="7">
        <v>3</v>
      </c>
      <c r="B16" s="8">
        <v>62</v>
      </c>
      <c r="C16" s="8">
        <v>62</v>
      </c>
    </row>
    <row r="17" spans="1:3" x14ac:dyDescent="0.35">
      <c r="A17" s="7">
        <v>4</v>
      </c>
      <c r="B17" s="8">
        <v>60</v>
      </c>
      <c r="C17" s="8">
        <v>60</v>
      </c>
    </row>
    <row r="18" spans="1:3" x14ac:dyDescent="0.35">
      <c r="A18" s="7" t="s">
        <v>62</v>
      </c>
      <c r="B18" s="8">
        <v>237</v>
      </c>
      <c r="C18" s="8">
        <v>237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topLeftCell="A2" zoomScaleNormal="100" workbookViewId="0">
      <selection activeCell="C6" sqref="C6"/>
    </sheetView>
  </sheetViews>
  <sheetFormatPr defaultRowHeight="14.5" x14ac:dyDescent="0.35"/>
  <cols>
    <col min="1" max="1" width="6" customWidth="1"/>
    <col min="2" max="2" width="9.7265625" customWidth="1"/>
    <col min="3" max="3" width="15.90625" bestFit="1" customWidth="1"/>
    <col min="4" max="4" width="10.54296875" customWidth="1"/>
    <col min="5" max="5" width="22.08984375" bestFit="1" customWidth="1"/>
    <col min="6" max="6" width="18.7265625" customWidth="1"/>
    <col min="7" max="7" width="15.54296875" customWidth="1"/>
    <col min="8" max="8" width="15.90625" bestFit="1" customWidth="1"/>
    <col min="9" max="9" width="15.7265625" customWidth="1"/>
    <col min="10" max="10" width="17.54296875" customWidth="1"/>
    <col min="11" max="11" width="22.6328125" customWidth="1"/>
    <col min="12" max="12" width="9" customWidth="1"/>
    <col min="13" max="13" width="11.81640625" customWidth="1"/>
    <col min="14" max="14" width="15.81640625" customWidth="1"/>
    <col min="15" max="15" width="9.90625" customWidth="1"/>
    <col min="16" max="16" width="23" bestFit="1" customWidth="1"/>
    <col min="17" max="17" width="14.90625" customWidth="1"/>
    <col min="18" max="18" width="13.6328125" customWidth="1"/>
    <col min="19" max="19" width="15.7265625" style="21" customWidth="1"/>
    <col min="20" max="20" width="13.36328125" customWidth="1"/>
    <col min="21" max="21" width="22.1796875" customWidth="1"/>
    <col min="22" max="22" width="9.08984375" bestFit="1" customWidth="1"/>
    <col min="23" max="23" width="10.81640625" customWidth="1"/>
    <col min="24" max="24" width="17.54296875" customWidth="1"/>
    <col min="25" max="25" width="18.26953125" customWidth="1"/>
    <col min="26" max="26" width="22.36328125" customWidth="1"/>
    <col min="27" max="27" width="14.6328125" customWidth="1"/>
    <col min="28" max="28" width="17" customWidth="1"/>
    <col min="29" max="29" width="18.1796875" customWidth="1"/>
    <col min="30" max="30" width="20.90625" customWidth="1"/>
    <col min="31" max="31" width="16.453125" customWidth="1"/>
    <col min="32" max="32" width="16.6328125" customWidth="1"/>
    <col min="33" max="33" width="18.54296875" customWidth="1"/>
    <col min="34" max="34" width="23.26953125" customWidth="1"/>
    <col min="35" max="35" width="21.81640625"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s="21">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s="21">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s="21">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s="21">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s="21">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s="21">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s="21">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s="21">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s="21">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s="2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s="21">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s="21">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s="21">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s="21">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s="21">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s="21">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s="21">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s="21">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s="21">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s="21">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s="21">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s="21">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s="21">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s="21">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s="21">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s="21">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s="21">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s="21">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s="2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s="21">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s="21">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s="21">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s="21">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s="21">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s="21">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s="21">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s="21">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s="21">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s="2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s="21">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s="21">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s="21">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s="21">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s="21">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s="21">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s="21">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s="21">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s="21">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s="2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s="21">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s="21">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s="21">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s="21">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s="21">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s="21">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s="21">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s="21">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s="21">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s="2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s="21">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s="21">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s="21">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s="21">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s="21">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s="21">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s="21">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s="21">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s="21">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s="2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s="21">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s="21">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s="21">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s="21">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s="21">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s="21">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s="21">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s="21">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s="21">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s="2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s="21">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s="21">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s="21">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s="21">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s="21">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s="21">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s="21">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s="21">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s="21">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s="2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s="21">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s="21">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s="21">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s="21">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s="21">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s="21">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s="21">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s="21">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s="21">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s="2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s="21">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s="21">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s="21">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s="21">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s="21">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s="21">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s="21">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s="21">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s="21">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s="2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s="21">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s="21">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s="21">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s="21">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s="21">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s="21">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s="21">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s="21">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s="21">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s="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s="21">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s="21">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s="21">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s="21">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s="21">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s="21">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s="21">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s="21">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s="21">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s="2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s="21">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s="21">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s="21">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s="21">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s="21">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s="21">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s="21">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s="21">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s="21">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s="2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s="21">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s="21">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s="21">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s="21">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s="21">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s="21">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s="21">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s="21">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s="21">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s="2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s="21">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s="21">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s="21">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s="21">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s="21">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s="21">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s="21">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s="21">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s="21">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s="2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s="21">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s="21">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s="21">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s="21">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s="21">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s="21">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s="21">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s="21">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s="21">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s="2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s="21">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s="21">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s="21">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s="21">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s="21">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s="21">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s="21">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s="21">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s="21">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s="2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s="21">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s="21">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s="21">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s="21">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s="21">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s="21">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s="21">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s="21">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s="21">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s="2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s="21">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s="21">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s="21">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s="21">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s="21">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s="21">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s="21">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s="21">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s="21">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s="2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s="21">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s="21">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s="21">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s="21">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s="21">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s="21">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s="21">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s="21">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s="21">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s="2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s="21">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s="21">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s="21">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s="21">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s="21">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s="21">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s="21">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s="21">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s="21">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s="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s="21">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s="21">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s="21">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s="21">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s="21">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s="21">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s="21">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s="21">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s="21">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s="2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s="21">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s="21">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s="21">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s="21">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s="21">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s="21">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s="21">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s="21">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s="21">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s="2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s="21">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s="21">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s="21">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s="21">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s="21">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s="21">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s="21">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s="21">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s="21">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s="2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s="21">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s="21">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s="21">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s="21">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s="21">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s="21">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s="21">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s="21">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s="21">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s="2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s="21">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s="21">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s="21">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s="21">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s="21">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s="21">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s="21">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s="21">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s="21">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s="2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s="21">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s="21">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s="21">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s="21">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s="21">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s="21">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s="21">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s="21">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s="21">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s="2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s="21">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s="21">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s="21">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s="21">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s="21">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s="21">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s="21">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s="21">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s="21">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s="2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s="21">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s="21">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s="21">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s="21">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s="21">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s="21">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s="21">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s="21">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s="21">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s="2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s="21">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s="21">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s="21">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s="21">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s="21">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s="21">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s="21">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s="21">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s="21">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s="2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s="21">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s="21">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s="21">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s="21">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s="21">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s="21">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s="21">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s="21">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s="21">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s="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s="21">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s="21">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s="21">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s="21">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s="21">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s="21">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s="21">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s="21">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s="21">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s="2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s="21">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s="21">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s="21">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s="21">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s="21">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s="21">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s="21">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s="21">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s="21">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s="2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s="21">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s="21">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s="21">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s="21">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s="21">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s="21">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s="21">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s="21">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s="21">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s="2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s="21">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s="21">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s="21">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s="21">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s="21">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s="21">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s="21">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s="21">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s="21">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s="2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s="21">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s="21">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s="21">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s="21">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s="21">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s="21">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s="21">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s="21">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s="21">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s="2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s="21">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s="21">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s="21">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s="21">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s="21">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s="21">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s="21">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s="21">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s="21">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s="2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s="21">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s="21">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s="21">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s="21">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s="21">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s="21">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s="21">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s="21">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s="21">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s="2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s="21">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s="21">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s="21">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s="21">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s="21">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s="21">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s="21">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s="21">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s="21">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s="2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s="21">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s="21">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s="21">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s="21">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s="21">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s="21">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s="21">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s="21">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s="21">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s="2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s="21">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s="21">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s="21">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s="21">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s="21">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s="21">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s="21">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s="21">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s="21">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s="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s="21">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s="21">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s="21">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s="21">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s="21">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s="21">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s="21">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s="21">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s="21">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s="2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s="21">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s="21">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s="21">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s="21">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s="21">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s="21">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s="21">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s="21">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s="21">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s="2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s="21">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s="21">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s="21">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s="21">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s="21">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s="21">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s="21">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s="21">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s="21">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s="2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s="21">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s="21">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s="21">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s="21">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s="21">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s="21">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s="21">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s="21">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s="21">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s="2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s="21">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s="21">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s="21">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s="21">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s="21">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s="21">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s="21">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s="21">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s="21">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s="2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s="21">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s="21">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s="21">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s="21">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s="21">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s="21">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s="21">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s="21">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s="21">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s="2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s="21">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s="21">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s="21">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s="21">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s="21">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s="21">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s="21">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s="21">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s="21">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s="2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s="21">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s="21">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s="21">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s="21">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s="21">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s="21">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s="21">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s="21">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s="21">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s="2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s="21">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s="21">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s="21">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s="21">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s="21">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s="21">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s="21">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s="21">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s="21">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s="2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s="21">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s="21">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s="21">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s="21">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s="21">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s="21">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s="21">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s="21">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s="21">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s="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s="21">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s="21">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s="21">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s="21">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s="21">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s="21">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s="21">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s="21">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s="21">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s="2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s="21">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s="21">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s="21">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s="21">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s="21">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s="21">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s="21">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s="21">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s="21">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s="2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s="21">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s="21">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s="21">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s="21">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s="21">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s="21">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s="21">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s="21">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s="21">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s="2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s="21">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s="21">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s="21">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s="21">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s="21">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s="21">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s="21">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s="21">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s="21">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s="2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s="21">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s="21">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s="21">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s="21">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s="21">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s="21">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s="21">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s="21">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s="21">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s="2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s="21">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s="21">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s="21">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s="21">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s="21">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s="21">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s="21">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s="21">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s="21">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s="2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s="21">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s="21">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s="21">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s="21">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s="21">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s="21">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s="21">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s="21">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s="21">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s="2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s="21">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s="21">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s="21">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s="21">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s="21">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s="21">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s="21">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s="21">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s="21">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s="2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s="21">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s="21">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s="21">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s="21">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s="21">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s="21">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s="21">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s="21">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s="21">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s="2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s="21">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s="21">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s="21">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s="21">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s="21">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s="21">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s="21">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s="21">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s="21">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s="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s="21">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s="21">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s="21">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s="21">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s="21">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s="21">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s="21">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s="21">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s="21">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s="2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s="21">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s="21">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s="21">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s="21">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s="21">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s="21">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s="21">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s="21">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s="21">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s="2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s="21">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s="21">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s="21">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s="21">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s="21">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s="21">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s="21">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s="21">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s="21">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s="2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s="21">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s="21">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s="21">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s="21">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s="21">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s="21">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s="21">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s="21">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s="21">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s="2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s="21">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s="21">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s="21">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s="21">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s="21">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s="21">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s="21">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s="21">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s="21">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s="2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s="21">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s="21">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s="21">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s="21">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s="21">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s="21">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s="21">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s="21">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s="21">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s="2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s="21">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s="21">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s="21">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s="21">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s="21">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s="21">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s="21">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s="21">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s="21">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s="2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s="21">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s="21">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s="21">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s="21">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s="21">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s="21">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s="21">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s="21">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s="21">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s="2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s="21">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s="21">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s="21">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s="21">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s="21">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s="21">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s="21">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s="21">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s="21">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s="2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s="21">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s="21">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s="21">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s="21">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s="21">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s="21">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s="21">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s="21">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s="21">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s="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s="21">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s="21">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s="21">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s="21">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s="21">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s="21">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s="21">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s="21">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s="21">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s="2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s="21">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s="21">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s="21">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s="21">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s="21">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s="21">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s="21">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s="21">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s="21">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s="2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s="21">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s="21">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s="21">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s="21">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s="21">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s="21">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s="21">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s="21">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s="21">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s="2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s="21">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s="21">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s="21">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s="21">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s="21">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s="21">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s="21">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s="21">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s="21">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s="2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s="21">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s="21">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s="21">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s="21">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s="21">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s="21">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s="21">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s="21">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s="21">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s="2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s="21">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s="21">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s="21">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s="21">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s="21">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s="21">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s="21">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s="21">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s="21">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s="2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s="21">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s="21">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s="21">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s="21">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s="21">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s="21">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s="21">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s="21">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s="21">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s="2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s="21">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s="21">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s="21">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s="21">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s="21">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s="21">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s="21">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s="21">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s="21">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s="2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s="21">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s="21">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s="21">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s="21">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s="21">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s="21">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s="21">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s="21">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s="21">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s="2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s="21">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s="21">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s="21">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s="21">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s="21">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s="21">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s="21">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s="21">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s="21">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s="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s="21">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s="21">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s="21">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s="21">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s="21">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s="21">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s="21">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s="21">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s="21">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s="2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s="21">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s="21">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s="21">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s="21">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s="21">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s="21">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s="21">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s="21">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s="21">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s="2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s="21">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s="21">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s="21">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s="21">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s="21">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s="21">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s="21">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s="21">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s="21">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s="2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s="21">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s="21">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s="21">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s="21">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s="21">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s="21">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s="21">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s="21">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s="21">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s="2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s="21">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s="21">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s="21">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s="21">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s="21">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s="21">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s="21">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s="21">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s="21">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s="2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s="21">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s="21">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s="21">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s="21">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s="21">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s="21">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s="21">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s="21">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s="21">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s="2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s="21">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s="21">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s="21">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s="21">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s="21">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s="21">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s="21">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s="21">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s="21">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s="2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s="21">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s="21">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s="21">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s="21">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s="21">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s="21">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s="21">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s="21">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s="21">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s="2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s="21">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s="21">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s="21">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s="21">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s="21">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s="21">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s="21">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s="21">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s="21">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s="2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s="21">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s="21">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s="21">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s="21">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s="21">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s="21">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s="21">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s="21">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s="21">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s="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s="21">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s="21">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s="21">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s="21">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s="21">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s="21">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s="21">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s="21">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s="21">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s="2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s="21">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s="21">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s="21">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s="21">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s="21">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s="21">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s="21">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s="21">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s="21">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s="2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s="21">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s="21">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s="21">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s="21">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s="21">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s="21">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s="21">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s="21">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s="21">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s="2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s="21">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s="21">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s="21">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s="21">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s="21">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s="21">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s="21">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s="21">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s="21">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s="2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s="21">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s="21">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s="21">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s="21">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s="21">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s="21">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s="21">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s="21">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s="21">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s="2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s="21">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s="21">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s="21">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s="21">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s="21">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s="21">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s="21">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s="21">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s="21">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s="2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s="21">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s="21">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s="21">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s="21">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s="21">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s="21">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s="21">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s="21">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s="21">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s="2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s="21">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s="21">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s="21">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s="21">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s="21">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s="21">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s="21">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s="21">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s="21">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s="2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s="21">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s="21">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s="21">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s="21">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s="21">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s="21">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s="21">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s="21">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s="21">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s="2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s="21">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s="21">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s="21">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s="21">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s="21">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s="21">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s="21">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s="21">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s="21">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s="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s="21">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s="21">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s="21">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s="21">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s="21">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s="21">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s="21">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s="21">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s="21">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s="2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s="21">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s="21">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s="21">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s="21">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s="21">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s="21">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s="21">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s="21">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s="21">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s="2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s="21">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s="21">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s="21">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s="21">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s="21">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s="21">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s="21">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s="21">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s="21">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s="2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s="21">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s="21">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s="21">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s="21">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s="21">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s="21">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s="21">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s="21">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s="21">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s="2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s="21">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s="21">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s="21">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s="21">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s="21">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s="21">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s="21">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s="21">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s="21">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s="2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s="21">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s="21">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s="21">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s="21">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s="21">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s="21">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s="21">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s="21">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s="21">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s="2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s="21">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s="21">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s="21">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s="21">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s="21">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s="21">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s="21">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s="21">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s="21">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s="2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s="21">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s="21">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s="21">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s="21">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s="21">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s="21">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s="21">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s="21">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s="21">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s="2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s="21">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s="21">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s="21">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s="21">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s="21">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s="21">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s="21">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s="21">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s="21">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s="2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s="21">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s="21">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s="21">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s="21">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s="21">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s="21">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s="21">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s="21">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s="21">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s="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s="21">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s="21">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s="21">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s="21">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s="21">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s="21">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s="21">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s="21">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s="21">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s="2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s="21">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s="21">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s="21">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s="21">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s="21">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s="21">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s="21">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s="21">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s="21">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s="2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s="21">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s="21">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s="21">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s="21">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s="21">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s="21">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s="21">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s="21">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s="21">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s="2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s="21">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s="21">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s="21">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s="21">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s="21">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s="21">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s="21">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s="21">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s="21">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s="2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s="21">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s="21">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s="21">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s="21">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s="21">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s="21">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s="21">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s="21">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s="21">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s="2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s="21">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s="21">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s="21">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s="21">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s="21">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s="21">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s="21">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s="21">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s="21">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s="2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s="21">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s="21">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s="21">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s="21">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s="21">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s="21">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s="21">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s="21">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s="21">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s="2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s="21">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s="21">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s="21">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s="21">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s="21">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s="21">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s="21">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s="21">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s="21">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s="2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s="21">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s="21">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s="21">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s="21">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s="21">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s="21">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s="21">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s="21">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s="21">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s="2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s="21">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s="21">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s="21">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s="21">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s="21">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s="21">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s="21">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s="21">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s="21">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s="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s="21">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s="21">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s="21">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s="21">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s="21">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s="21">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s="21">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s="21">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s="21">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s="2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s="21">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s="21">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s="21">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s="21">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s="21">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s="21">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s="21">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s="21">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s="21">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s="2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s="21">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s="21">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s="21">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s="21">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s="21">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s="21">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s="21">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s="21">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s="21">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s="2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s="21">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s="21">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s="21">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s="21">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s="21">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s="21">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s="21">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s="21">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s="21">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s="2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s="21">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s="21">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s="21">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s="21">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s="21">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s="21">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s="21">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s="21">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s="21">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s="2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s="21">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s="21">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s="21">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s="21">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s="21">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s="21">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s="21">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s="21">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s="21">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s="2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s="21">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s="21">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s="21">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s="21">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s="21">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s="21">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s="21">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s="21">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s="21">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s="2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s="21">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s="21">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s="21">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s="21">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s="21">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s="21">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s="21">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s="21">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s="21">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s="2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s="21">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s="21">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s="21">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s="21">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s="21">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s="21">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s="21">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s="21">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s="21">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s="2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s="21">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s="21">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s="21">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s="21">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s="21">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s="21">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s="21">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s="21">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s="21">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s="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s="21">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s="21">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s="21">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s="21">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s="21">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s="21">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s="21">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s="21">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s="21">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s="2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s="21">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s="21">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s="21">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s="21">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s="21">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s="21">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s="21">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s="21">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s="21">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s="2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s="21">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s="21">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s="21">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s="21">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s="21">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s="21">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s="21">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s="21">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s="21">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s="2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s="21">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s="21">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s="21">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s="21">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s="21">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s="21">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s="21">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s="21">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s="21">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s="2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s="21">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s="21">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s="21">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s="21">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s="21">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s="21">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s="21">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s="21">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s="21">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s="2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s="21">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s="21">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s="21">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s="21">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s="21">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s="21">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s="21">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s="21">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s="21">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s="2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s="21">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s="21">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s="21">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s="21">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s="21">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s="21">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s="21">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s="21">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s="21">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s="2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s="21">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s="21">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s="21">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s="21">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s="21">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s="21">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s="21">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s="21">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s="21">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s="2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s="21">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s="21">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s="21">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s="21">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s="21">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s="21">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s="21">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s="21">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s="21">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s="2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s="21">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s="21">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s="21">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s="21">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s="21">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s="21">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s="21">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s="21">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s="21">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s="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s="21">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s="21">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s="21">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s="21">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s="21">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s="21">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s="21">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s="21">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s="21">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s="2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s="21">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s="21">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s="21">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s="21">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s="21">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s="21">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s="21">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s="21">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s="21">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s="2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s="21">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s="21">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s="21">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s="21">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s="21">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s="21">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s="21">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s="21">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s="21">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s="2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s="21">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s="21">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s="21">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s="21">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s="21">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s="21">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s="21">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s="21">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s="21">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s="2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s="21">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s="21">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s="21">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s="21">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s="21">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s="21">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s="21">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s="21">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s="21">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s="2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conditionalFormatting sqref="A1:XFD1048576">
    <cfRule type="containsBlanks" dxfId="1" priority="1">
      <formula>LEN(TRIM(A1))=0</formula>
    </cfRule>
  </conditionalFormatting>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39"/>
  <sheetViews>
    <sheetView zoomScaleNormal="100" workbookViewId="0">
      <selection activeCell="E12" sqref="E12"/>
    </sheetView>
  </sheetViews>
  <sheetFormatPr defaultColWidth="3.7265625" defaultRowHeight="14.5" x14ac:dyDescent="0.35"/>
  <cols>
    <col min="1" max="1" width="3.90625" bestFit="1" customWidth="1"/>
    <col min="2" max="2" width="7.7265625" bestFit="1" customWidth="1"/>
    <col min="3" max="3" width="15.90625" bestFit="1" customWidth="1"/>
    <col min="4" max="4" width="8.6328125" bestFit="1" customWidth="1"/>
    <col min="5" max="5" width="22.08984375" bestFit="1" customWidth="1"/>
    <col min="6" max="6" width="17.453125" bestFit="1" customWidth="1"/>
    <col min="7" max="7" width="9.81640625" customWidth="1"/>
    <col min="8" max="8" width="15.90625" bestFit="1" customWidth="1"/>
    <col min="9" max="9" width="14.08984375" bestFit="1" customWidth="1"/>
    <col min="10" max="10" width="15.90625" bestFit="1" customWidth="1"/>
    <col min="11" max="11" width="17.7265625" customWidth="1"/>
    <col min="12" max="12" width="7" bestFit="1" customWidth="1"/>
    <col min="13" max="13" width="10.08984375" bestFit="1" customWidth="1"/>
    <col min="14" max="14" width="14.08984375" bestFit="1" customWidth="1"/>
    <col min="15" max="15" width="7.81640625" bestFit="1" customWidth="1"/>
    <col min="16" max="16" width="23" bestFit="1" customWidth="1"/>
    <col min="17" max="17" width="13.26953125" bestFit="1" customWidth="1"/>
    <col min="18" max="18" width="11.90625" bestFit="1" customWidth="1"/>
    <col min="19" max="19" width="14.08984375" bestFit="1" customWidth="1"/>
    <col min="20" max="20" width="11.54296875" bestFit="1" customWidth="1"/>
    <col min="21" max="21" width="20.90625" bestFit="1" customWidth="1"/>
    <col min="22" max="22" width="6.81640625" bestFit="1" customWidth="1"/>
    <col min="23" max="23" width="8.90625" bestFit="1" customWidth="1"/>
    <col min="24" max="24" width="15.81640625" bestFit="1" customWidth="1"/>
    <col min="25" max="25" width="16.81640625" bestFit="1" customWidth="1"/>
    <col min="26" max="26" width="20.81640625" bestFit="1" customWidth="1"/>
    <col min="27" max="27" width="13.453125" bestFit="1" customWidth="1"/>
    <col min="28" max="28" width="15.1796875" bestFit="1" customWidth="1"/>
    <col min="29" max="29" width="16.6328125" bestFit="1" customWidth="1"/>
    <col min="30" max="30" width="19.6328125" bestFit="1" customWidth="1"/>
    <col min="31" max="31" width="14.81640625" bestFit="1" customWidth="1"/>
    <col min="32" max="32" width="15.1796875" bestFit="1" customWidth="1"/>
    <col min="33" max="33" width="17.1796875" bestFit="1" customWidth="1"/>
    <col min="34" max="34" width="22" bestFit="1" customWidth="1"/>
    <col min="35" max="35" width="20.6328125" bestFit="1" customWidth="1"/>
  </cols>
  <sheetData>
    <row r="1" spans="1:35" s="23" customFormat="1" ht="22.5" customHeight="1" x14ac:dyDescent="0.7">
      <c r="A1" s="51" t="s">
        <v>81</v>
      </c>
      <c r="B1" s="51"/>
      <c r="C1" s="51"/>
      <c r="D1" s="51"/>
      <c r="E1" s="51"/>
      <c r="F1" s="51"/>
      <c r="G1" s="51"/>
      <c r="H1" s="51"/>
      <c r="I1" s="51"/>
      <c r="J1" s="51"/>
      <c r="K1" s="51"/>
      <c r="L1" s="24"/>
      <c r="M1" s="24"/>
      <c r="N1" s="24"/>
      <c r="O1" s="24"/>
      <c r="P1" s="24"/>
      <c r="Q1" s="24"/>
      <c r="R1" s="24"/>
      <c r="S1" s="24"/>
      <c r="T1" s="24"/>
      <c r="U1" s="24"/>
      <c r="V1" s="24"/>
      <c r="W1" s="24"/>
      <c r="X1" s="24"/>
      <c r="Y1" s="25"/>
      <c r="Z1" s="25"/>
      <c r="AA1" s="25"/>
      <c r="AB1" s="25"/>
      <c r="AC1" s="25"/>
      <c r="AD1" s="25"/>
    </row>
    <row r="2" spans="1:35" s="5" customFormat="1" x14ac:dyDescent="0.35">
      <c r="A2" s="26"/>
      <c r="B2" s="26"/>
      <c r="C2" s="26"/>
      <c r="D2" s="26"/>
      <c r="E2" s="26"/>
      <c r="F2" s="26"/>
      <c r="G2" s="26"/>
      <c r="H2" s="26"/>
      <c r="I2" s="26"/>
      <c r="J2" s="26"/>
      <c r="K2" s="26"/>
      <c r="L2" s="26"/>
      <c r="M2" s="26"/>
      <c r="N2" s="26"/>
      <c r="O2" s="26"/>
      <c r="P2" s="26"/>
      <c r="Q2" s="26"/>
      <c r="R2" s="26"/>
      <c r="S2" s="26"/>
      <c r="T2" s="26"/>
      <c r="U2" s="26"/>
      <c r="V2" s="26"/>
      <c r="W2" s="26"/>
      <c r="X2" s="26"/>
      <c r="Y2" s="27"/>
      <c r="Z2" s="27"/>
      <c r="AA2" s="27"/>
      <c r="AB2" s="27"/>
      <c r="AC2" s="27"/>
      <c r="AD2" s="27"/>
    </row>
    <row r="3" spans="1:35" x14ac:dyDescent="0.35">
      <c r="A3" s="28"/>
      <c r="B3" s="28"/>
      <c r="C3" s="28"/>
      <c r="D3" s="28"/>
      <c r="E3" s="28"/>
      <c r="F3" s="28"/>
      <c r="G3" s="28"/>
      <c r="H3" s="28"/>
      <c r="I3" s="28"/>
      <c r="J3" s="28"/>
      <c r="K3" s="28"/>
      <c r="L3" s="28"/>
      <c r="M3" s="28"/>
      <c r="N3" s="28"/>
      <c r="O3" s="28"/>
      <c r="P3" s="28"/>
      <c r="Q3" s="28"/>
      <c r="R3" s="28"/>
      <c r="S3" s="28"/>
      <c r="T3" s="28"/>
      <c r="U3" s="28"/>
      <c r="V3" s="28"/>
      <c r="W3" s="28"/>
      <c r="X3" s="28"/>
      <c r="Y3" s="29"/>
      <c r="Z3" s="29"/>
      <c r="AA3" s="29"/>
      <c r="AB3" s="29"/>
      <c r="AC3" s="29"/>
      <c r="AD3" s="29"/>
      <c r="AE3" s="2"/>
      <c r="AF3" s="2"/>
      <c r="AG3" s="2"/>
      <c r="AH3" s="2"/>
      <c r="AI3" s="9"/>
    </row>
    <row r="4" spans="1:35" x14ac:dyDescent="0.35">
      <c r="A4" s="30"/>
      <c r="B4" s="30"/>
      <c r="C4" s="30"/>
      <c r="D4" s="30"/>
      <c r="E4" s="30"/>
      <c r="F4" s="30"/>
      <c r="G4" s="30"/>
      <c r="H4" s="30"/>
      <c r="I4" s="30"/>
      <c r="J4" s="30"/>
      <c r="K4" s="30"/>
      <c r="L4" s="30"/>
      <c r="M4" s="36"/>
      <c r="N4" s="30"/>
      <c r="O4" s="30"/>
      <c r="P4" s="30"/>
      <c r="Q4" s="30"/>
      <c r="R4" s="30"/>
      <c r="S4" s="30"/>
      <c r="T4" s="30"/>
      <c r="U4" s="30"/>
      <c r="V4" s="30"/>
      <c r="W4" s="30"/>
      <c r="X4" s="30"/>
      <c r="Y4" s="31"/>
      <c r="Z4" s="31"/>
      <c r="AA4" s="31"/>
      <c r="AB4" s="31"/>
      <c r="AC4" s="31"/>
      <c r="AD4" s="31"/>
      <c r="AE4" s="4"/>
      <c r="AF4" s="4"/>
      <c r="AG4" s="4"/>
      <c r="AH4" s="4"/>
      <c r="AI4" s="10"/>
    </row>
    <row r="5" spans="1:35" x14ac:dyDescent="0.35">
      <c r="A5" s="28"/>
      <c r="B5" s="28"/>
      <c r="C5" s="28"/>
      <c r="D5" s="28"/>
      <c r="E5" s="28"/>
      <c r="F5" s="28"/>
      <c r="G5" s="28"/>
      <c r="H5" s="28"/>
      <c r="I5" s="28"/>
      <c r="J5" s="28"/>
      <c r="K5" s="28"/>
      <c r="L5" s="28"/>
      <c r="M5" s="28"/>
      <c r="N5" s="28"/>
      <c r="O5" s="28"/>
      <c r="P5" s="28"/>
      <c r="Q5" s="28"/>
      <c r="R5" s="28"/>
      <c r="S5" s="28"/>
      <c r="T5" s="28"/>
      <c r="U5" s="28"/>
      <c r="V5" s="28"/>
      <c r="W5" s="28"/>
      <c r="X5" s="28"/>
      <c r="Y5" s="29"/>
      <c r="Z5" s="29"/>
      <c r="AA5" s="29"/>
      <c r="AB5" s="29"/>
      <c r="AC5" s="29"/>
      <c r="AD5" s="29"/>
      <c r="AE5" s="2"/>
      <c r="AF5" s="2"/>
      <c r="AG5" s="2"/>
      <c r="AH5" s="2"/>
      <c r="AI5" s="9"/>
    </row>
    <row r="6" spans="1:35" x14ac:dyDescent="0.35">
      <c r="A6" s="30"/>
      <c r="B6" s="30"/>
      <c r="C6" s="30"/>
      <c r="D6" s="30"/>
      <c r="E6" s="30"/>
      <c r="F6" s="30"/>
      <c r="G6" s="30"/>
      <c r="H6" s="30"/>
      <c r="I6" s="30"/>
      <c r="J6" s="30"/>
      <c r="K6" s="30"/>
      <c r="L6" s="30"/>
      <c r="M6" s="30"/>
      <c r="N6" s="30"/>
      <c r="O6" s="30"/>
      <c r="P6" s="30"/>
      <c r="Q6" s="30"/>
      <c r="R6" s="30"/>
      <c r="S6" s="30"/>
      <c r="T6" s="30"/>
      <c r="U6" s="30"/>
      <c r="V6" s="30"/>
      <c r="W6" s="30"/>
      <c r="X6" s="30"/>
      <c r="Y6" s="31"/>
      <c r="Z6" s="31"/>
      <c r="AA6" s="31"/>
      <c r="AB6" s="31"/>
      <c r="AC6" s="31"/>
      <c r="AD6" s="31"/>
      <c r="AE6" s="4"/>
      <c r="AF6" s="4"/>
      <c r="AG6" s="4"/>
      <c r="AH6" s="4"/>
      <c r="AI6" s="10"/>
    </row>
    <row r="7" spans="1:35" x14ac:dyDescent="0.35">
      <c r="A7" s="28"/>
      <c r="B7" s="28"/>
      <c r="C7" s="28"/>
      <c r="D7" s="28"/>
      <c r="E7" s="28"/>
      <c r="F7" s="28"/>
      <c r="G7" s="28"/>
      <c r="H7" s="28"/>
      <c r="I7" s="28"/>
      <c r="J7" s="28"/>
      <c r="K7" s="28"/>
      <c r="L7" s="28"/>
      <c r="M7" s="28"/>
      <c r="N7" s="28"/>
      <c r="O7" s="28"/>
      <c r="P7" s="28"/>
      <c r="Q7" s="28"/>
      <c r="R7" s="28"/>
      <c r="S7" s="28"/>
      <c r="T7" s="28"/>
      <c r="U7" s="28"/>
      <c r="V7" s="28"/>
      <c r="W7" s="28"/>
      <c r="X7" s="28"/>
      <c r="Y7" s="29"/>
      <c r="Z7" s="29"/>
      <c r="AA7" s="29"/>
      <c r="AB7" s="29"/>
      <c r="AC7" s="29"/>
      <c r="AD7" s="29"/>
      <c r="AE7" s="2"/>
      <c r="AF7" s="2"/>
      <c r="AG7" s="2"/>
      <c r="AH7" s="2"/>
      <c r="AI7" s="9"/>
    </row>
    <row r="8" spans="1:35" x14ac:dyDescent="0.35">
      <c r="A8" s="30"/>
      <c r="B8" s="30"/>
      <c r="C8" s="30"/>
      <c r="D8" s="30"/>
      <c r="E8" s="30"/>
      <c r="F8" s="30"/>
      <c r="G8" s="30"/>
      <c r="H8" s="30"/>
      <c r="I8" s="30"/>
      <c r="J8" s="30"/>
      <c r="K8" s="30"/>
      <c r="L8" s="30"/>
      <c r="M8" s="30"/>
      <c r="N8" s="30"/>
      <c r="O8" s="30"/>
      <c r="P8" s="30"/>
      <c r="Q8" s="30"/>
      <c r="R8" s="30"/>
      <c r="S8" s="30"/>
      <c r="T8" s="30"/>
      <c r="U8" s="30"/>
      <c r="V8" s="30"/>
      <c r="W8" s="30"/>
      <c r="X8" s="30"/>
      <c r="Y8" s="31"/>
      <c r="Z8" s="31"/>
      <c r="AA8" s="31"/>
      <c r="AB8" s="31"/>
      <c r="AC8" s="31"/>
      <c r="AD8" s="31"/>
      <c r="AE8" s="4"/>
      <c r="AF8" s="4"/>
      <c r="AG8" s="4"/>
      <c r="AH8" s="4"/>
      <c r="AI8" s="10"/>
    </row>
    <row r="9" spans="1:35" x14ac:dyDescent="0.35">
      <c r="A9" s="28"/>
      <c r="B9" s="28"/>
      <c r="C9" s="28"/>
      <c r="D9" s="28"/>
      <c r="E9" s="28"/>
      <c r="F9" s="28"/>
      <c r="G9" s="28"/>
      <c r="H9" s="28"/>
      <c r="I9" s="28"/>
      <c r="J9" s="28"/>
      <c r="K9" s="28"/>
      <c r="L9" s="28"/>
      <c r="M9" s="28"/>
      <c r="N9" s="28"/>
      <c r="O9" s="28"/>
      <c r="P9" s="28"/>
      <c r="Q9" s="28"/>
      <c r="R9" s="28"/>
      <c r="S9" s="28"/>
      <c r="T9" s="28"/>
      <c r="U9" s="28"/>
      <c r="V9" s="28"/>
      <c r="W9" s="28"/>
      <c r="X9" s="28"/>
      <c r="Y9" s="29"/>
      <c r="Z9" s="29"/>
      <c r="AA9" s="29"/>
      <c r="AB9" s="29"/>
      <c r="AC9" s="29"/>
      <c r="AD9" s="29"/>
      <c r="AE9" s="2"/>
      <c r="AF9" s="2"/>
      <c r="AG9" s="2"/>
      <c r="AH9" s="2"/>
      <c r="AI9" s="9"/>
    </row>
    <row r="10" spans="1:35" x14ac:dyDescent="0.35">
      <c r="A10" s="30"/>
      <c r="B10" s="30"/>
      <c r="C10" s="30"/>
      <c r="D10" s="30"/>
      <c r="E10" s="30"/>
      <c r="F10" s="30"/>
      <c r="G10" s="30"/>
      <c r="H10" s="30"/>
      <c r="I10" s="30"/>
      <c r="J10" s="30"/>
      <c r="K10" s="30"/>
      <c r="L10" s="30"/>
      <c r="M10" s="30"/>
      <c r="N10" s="30"/>
      <c r="O10" s="30"/>
      <c r="P10" s="30"/>
      <c r="Q10" s="30"/>
      <c r="R10" s="30"/>
      <c r="S10" s="30"/>
      <c r="T10" s="30"/>
      <c r="U10" s="30"/>
      <c r="V10" s="30"/>
      <c r="W10" s="30"/>
      <c r="X10" s="30"/>
      <c r="Y10" s="31"/>
      <c r="Z10" s="31"/>
      <c r="AA10" s="31"/>
      <c r="AB10" s="31"/>
      <c r="AC10" s="31"/>
      <c r="AD10" s="31"/>
      <c r="AE10" s="4"/>
      <c r="AF10" s="4"/>
      <c r="AG10" s="4"/>
      <c r="AH10" s="4"/>
      <c r="AI10" s="10"/>
    </row>
    <row r="11" spans="1:35" x14ac:dyDescent="0.35">
      <c r="A11" s="28"/>
      <c r="B11" s="28"/>
      <c r="C11" s="28"/>
      <c r="D11" s="28"/>
      <c r="E11" s="28"/>
      <c r="F11" s="28"/>
      <c r="G11" s="28"/>
      <c r="H11" s="28"/>
      <c r="I11" s="28"/>
      <c r="J11" s="28"/>
      <c r="K11" s="28"/>
      <c r="L11" s="28"/>
      <c r="M11" s="28"/>
      <c r="N11" s="28"/>
      <c r="O11" s="28"/>
      <c r="P11" s="28"/>
      <c r="Q11" s="28"/>
      <c r="R11" s="28"/>
      <c r="S11" s="28"/>
      <c r="T11" s="28"/>
      <c r="U11" s="28"/>
      <c r="V11" s="28"/>
      <c r="W11" s="28"/>
      <c r="X11" s="28"/>
      <c r="Y11" s="29"/>
      <c r="Z11" s="29"/>
      <c r="AA11" s="29"/>
      <c r="AB11" s="29"/>
      <c r="AC11" s="29"/>
      <c r="AD11" s="29"/>
      <c r="AE11" s="2"/>
      <c r="AF11" s="2"/>
      <c r="AG11" s="2"/>
      <c r="AH11" s="2"/>
      <c r="AI11" s="9"/>
    </row>
    <row r="12" spans="1:35" x14ac:dyDescent="0.35">
      <c r="A12" s="30"/>
      <c r="B12" s="30"/>
      <c r="C12" s="30"/>
      <c r="D12" s="30"/>
      <c r="E12" s="30"/>
      <c r="F12" s="30"/>
      <c r="G12" s="30"/>
      <c r="H12" s="30"/>
      <c r="I12" s="30"/>
      <c r="J12" s="30"/>
      <c r="K12" s="30"/>
      <c r="L12" s="30"/>
      <c r="M12" s="30"/>
      <c r="N12" s="30"/>
      <c r="O12" s="30"/>
      <c r="P12" s="30"/>
      <c r="Q12" s="30"/>
      <c r="R12" s="30"/>
      <c r="S12" s="30"/>
      <c r="T12" s="30"/>
      <c r="U12" s="30"/>
      <c r="V12" s="30"/>
      <c r="W12" s="30"/>
      <c r="X12" s="30"/>
      <c r="Y12" s="31"/>
      <c r="Z12" s="31"/>
      <c r="AA12" s="31"/>
      <c r="AB12" s="31"/>
      <c r="AC12" s="31"/>
      <c r="AD12" s="31"/>
      <c r="AE12" s="4"/>
      <c r="AF12" s="4"/>
      <c r="AG12" s="4"/>
      <c r="AH12" s="4"/>
      <c r="AI12" s="10"/>
    </row>
    <row r="13" spans="1:35" x14ac:dyDescent="0.35">
      <c r="A13" s="28"/>
      <c r="B13" s="28"/>
      <c r="C13" s="28"/>
      <c r="D13" s="28"/>
      <c r="E13" s="28"/>
      <c r="F13" s="28"/>
      <c r="G13" s="28"/>
      <c r="H13" s="28"/>
      <c r="I13" s="28"/>
      <c r="J13" s="28"/>
      <c r="K13" s="28"/>
      <c r="L13" s="28"/>
      <c r="M13" s="28"/>
      <c r="N13" s="28"/>
      <c r="O13" s="28"/>
      <c r="P13" s="28"/>
      <c r="Q13" s="28"/>
      <c r="R13" s="28"/>
      <c r="S13" s="28"/>
      <c r="T13" s="28"/>
      <c r="U13" s="28"/>
      <c r="V13" s="28"/>
      <c r="W13" s="28"/>
      <c r="X13" s="28"/>
      <c r="Y13" s="29"/>
      <c r="Z13" s="29"/>
      <c r="AA13" s="29"/>
      <c r="AB13" s="29"/>
      <c r="AC13" s="29"/>
      <c r="AD13" s="29"/>
      <c r="AE13" s="2"/>
      <c r="AF13" s="2"/>
      <c r="AG13" s="2"/>
      <c r="AH13" s="2"/>
      <c r="AI13" s="9"/>
    </row>
    <row r="14" spans="1:35" x14ac:dyDescent="0.35">
      <c r="A14" s="30"/>
      <c r="B14" s="30"/>
      <c r="C14" s="30"/>
      <c r="D14" s="30"/>
      <c r="E14" s="30"/>
      <c r="F14" s="30"/>
      <c r="G14" s="30"/>
      <c r="H14" s="30"/>
      <c r="I14" s="30"/>
      <c r="J14" s="30"/>
      <c r="K14" s="30"/>
      <c r="L14" s="30"/>
      <c r="M14" s="30"/>
      <c r="N14" s="30"/>
      <c r="O14" s="30"/>
      <c r="P14" s="30"/>
      <c r="Q14" s="30"/>
      <c r="R14" s="30"/>
      <c r="S14" s="30"/>
      <c r="T14" s="30"/>
      <c r="U14" s="30"/>
      <c r="V14" s="30"/>
      <c r="W14" s="30"/>
      <c r="X14" s="30"/>
      <c r="Y14" s="31"/>
      <c r="Z14" s="31"/>
      <c r="AA14" s="31"/>
      <c r="AB14" s="31"/>
      <c r="AC14" s="31"/>
      <c r="AD14" s="31"/>
      <c r="AE14" s="4"/>
      <c r="AF14" s="4"/>
      <c r="AG14" s="4"/>
      <c r="AH14" s="4"/>
      <c r="AI14" s="10"/>
    </row>
    <row r="15" spans="1:35" x14ac:dyDescent="0.35">
      <c r="A15" s="28"/>
      <c r="B15" s="28"/>
      <c r="C15" s="28"/>
      <c r="D15" s="28"/>
      <c r="E15" s="28"/>
      <c r="F15" s="28"/>
      <c r="G15" s="28"/>
      <c r="H15" s="28"/>
      <c r="I15" s="28"/>
      <c r="J15" s="28"/>
      <c r="K15" s="28"/>
      <c r="L15" s="28"/>
      <c r="M15" s="28"/>
      <c r="N15" s="28"/>
      <c r="O15" s="28"/>
      <c r="P15" s="28"/>
      <c r="Q15" s="28"/>
      <c r="R15" s="28"/>
      <c r="S15" s="28"/>
      <c r="T15" s="28"/>
      <c r="U15" s="28"/>
      <c r="V15" s="28"/>
      <c r="W15" s="28"/>
      <c r="X15" s="28"/>
      <c r="Y15" s="29"/>
      <c r="Z15" s="29"/>
      <c r="AA15" s="29"/>
      <c r="AB15" s="29"/>
      <c r="AC15" s="29"/>
      <c r="AD15" s="29"/>
      <c r="AE15" s="2"/>
      <c r="AF15" s="2"/>
      <c r="AG15" s="2"/>
      <c r="AH15" s="2"/>
      <c r="AI15" s="9"/>
    </row>
    <row r="16" spans="1:35" x14ac:dyDescent="0.35">
      <c r="A16" s="30"/>
      <c r="B16" s="30"/>
      <c r="C16" s="30"/>
      <c r="D16" s="30"/>
      <c r="E16" s="30"/>
      <c r="F16" s="30"/>
      <c r="G16" s="30"/>
      <c r="H16" s="30"/>
      <c r="I16" s="30"/>
      <c r="J16" s="30"/>
      <c r="K16" s="30"/>
      <c r="L16" s="30"/>
      <c r="M16" s="30"/>
      <c r="N16" s="30"/>
      <c r="O16" s="30"/>
      <c r="P16" s="30"/>
      <c r="Q16" s="30"/>
      <c r="R16" s="30"/>
      <c r="S16" s="30"/>
      <c r="T16" s="30"/>
      <c r="U16" s="30"/>
      <c r="V16" s="30"/>
      <c r="W16" s="30"/>
      <c r="X16" s="30"/>
      <c r="Y16" s="31"/>
      <c r="Z16" s="31"/>
      <c r="AA16" s="31"/>
      <c r="AB16" s="31"/>
      <c r="AC16" s="31"/>
      <c r="AD16" s="31"/>
      <c r="AE16" s="4"/>
      <c r="AF16" s="4"/>
      <c r="AG16" s="4"/>
      <c r="AH16" s="4"/>
      <c r="AI16" s="10"/>
    </row>
    <row r="17" spans="1:35" x14ac:dyDescent="0.35">
      <c r="A17" s="28"/>
      <c r="B17" s="28"/>
      <c r="C17" s="28"/>
      <c r="D17" s="28"/>
      <c r="E17" s="28"/>
      <c r="F17" s="28"/>
      <c r="G17" s="28"/>
      <c r="H17" s="28"/>
      <c r="I17" s="28"/>
      <c r="J17" s="28"/>
      <c r="K17" s="28"/>
      <c r="L17" s="28"/>
      <c r="M17" s="28"/>
      <c r="N17" s="28"/>
      <c r="O17" s="28"/>
      <c r="P17" s="28"/>
      <c r="Q17" s="28"/>
      <c r="R17" s="28"/>
      <c r="S17" s="28"/>
      <c r="T17" s="28"/>
      <c r="U17" s="28"/>
      <c r="V17" s="28"/>
      <c r="W17" s="28"/>
      <c r="X17" s="28"/>
      <c r="Y17" s="29"/>
      <c r="Z17" s="29"/>
      <c r="AA17" s="29"/>
      <c r="AB17" s="29"/>
      <c r="AC17" s="29"/>
      <c r="AD17" s="29"/>
      <c r="AE17" s="2"/>
      <c r="AF17" s="2"/>
      <c r="AG17" s="2"/>
      <c r="AH17" s="2"/>
      <c r="AI17" s="9"/>
    </row>
    <row r="18" spans="1:35" x14ac:dyDescent="0.35">
      <c r="A18" s="30"/>
      <c r="B18" s="30"/>
      <c r="C18" s="30"/>
      <c r="D18" s="30"/>
      <c r="E18" s="30"/>
      <c r="F18" s="30"/>
      <c r="G18" s="30"/>
      <c r="H18" s="30"/>
      <c r="I18" s="30"/>
      <c r="J18" s="30"/>
      <c r="K18" s="30"/>
      <c r="L18" s="30"/>
      <c r="M18" s="30"/>
      <c r="N18" s="30"/>
      <c r="O18" s="30"/>
      <c r="P18" s="30"/>
      <c r="Q18" s="30"/>
      <c r="R18" s="30"/>
      <c r="S18" s="30"/>
      <c r="T18" s="30"/>
      <c r="U18" s="30"/>
      <c r="V18" s="30"/>
      <c r="W18" s="30"/>
      <c r="X18" s="30"/>
      <c r="Y18" s="31"/>
      <c r="Z18" s="31"/>
      <c r="AA18" s="31"/>
      <c r="AB18" s="31"/>
      <c r="AC18" s="31"/>
      <c r="AD18" s="31"/>
      <c r="AE18" s="4"/>
      <c r="AF18" s="4"/>
      <c r="AG18" s="4"/>
      <c r="AH18" s="4"/>
      <c r="AI18" s="10"/>
    </row>
    <row r="19" spans="1:35" x14ac:dyDescent="0.35">
      <c r="A19" s="28"/>
      <c r="B19" s="28"/>
      <c r="C19" s="28"/>
      <c r="D19" s="28"/>
      <c r="E19" s="28"/>
      <c r="F19" s="28"/>
      <c r="G19" s="28"/>
      <c r="H19" s="28"/>
      <c r="I19" s="28"/>
      <c r="J19" s="28"/>
      <c r="K19" s="28"/>
      <c r="L19" s="28"/>
      <c r="M19" s="28"/>
      <c r="N19" s="28"/>
      <c r="O19" s="28"/>
      <c r="P19" s="28"/>
      <c r="Q19" s="28"/>
      <c r="R19" s="28"/>
      <c r="S19" s="28"/>
      <c r="T19" s="28"/>
      <c r="U19" s="28"/>
      <c r="V19" s="28"/>
      <c r="W19" s="28"/>
      <c r="X19" s="28"/>
      <c r="Y19" s="29"/>
      <c r="Z19" s="29"/>
      <c r="AA19" s="29"/>
      <c r="AB19" s="29"/>
      <c r="AC19" s="29"/>
      <c r="AD19" s="29"/>
      <c r="AE19" s="2"/>
      <c r="AF19" s="2"/>
      <c r="AG19" s="2"/>
      <c r="AH19" s="2"/>
      <c r="AI19" s="9"/>
    </row>
    <row r="20" spans="1:35" x14ac:dyDescent="0.35">
      <c r="A20" s="30"/>
      <c r="B20" s="30"/>
      <c r="C20" s="30"/>
      <c r="D20" s="30"/>
      <c r="E20" s="30"/>
      <c r="F20" s="30"/>
      <c r="G20" s="30"/>
      <c r="H20" s="30"/>
      <c r="I20" s="30"/>
      <c r="J20" s="30"/>
      <c r="K20" s="30"/>
      <c r="L20" s="30"/>
      <c r="M20" s="30"/>
      <c r="N20" s="30"/>
      <c r="O20" s="30"/>
      <c r="P20" s="30"/>
      <c r="Q20" s="30"/>
      <c r="R20" s="30"/>
      <c r="S20" s="30"/>
      <c r="T20" s="30"/>
      <c r="U20" s="30"/>
      <c r="V20" s="30"/>
      <c r="W20" s="30"/>
      <c r="X20" s="30"/>
      <c r="Y20" s="31"/>
      <c r="Z20" s="31"/>
      <c r="AA20" s="31"/>
      <c r="AB20" s="31"/>
      <c r="AC20" s="31"/>
      <c r="AD20" s="31"/>
      <c r="AE20" s="4"/>
      <c r="AF20" s="4"/>
      <c r="AG20" s="4"/>
      <c r="AH20" s="4"/>
      <c r="AI20" s="10"/>
    </row>
    <row r="21" spans="1:35" x14ac:dyDescent="0.35">
      <c r="A21" s="28"/>
      <c r="B21" s="28"/>
      <c r="C21" s="28"/>
      <c r="D21" s="28"/>
      <c r="E21" s="28"/>
      <c r="F21" s="28"/>
      <c r="G21" s="28"/>
      <c r="H21" s="28"/>
      <c r="I21" s="28"/>
      <c r="J21" s="28"/>
      <c r="K21" s="28"/>
      <c r="L21" s="28"/>
      <c r="M21" s="28"/>
      <c r="N21" s="28"/>
      <c r="O21" s="28"/>
      <c r="P21" s="28"/>
      <c r="Q21" s="28"/>
      <c r="R21" s="28"/>
      <c r="S21" s="28"/>
      <c r="T21" s="28"/>
      <c r="U21" s="28"/>
      <c r="V21" s="28"/>
      <c r="W21" s="28"/>
      <c r="X21" s="28"/>
      <c r="Y21" s="29"/>
      <c r="Z21" s="29"/>
      <c r="AA21" s="29"/>
      <c r="AB21" s="29"/>
      <c r="AC21" s="29"/>
      <c r="AD21" s="29"/>
      <c r="AE21" s="2"/>
      <c r="AF21" s="2"/>
      <c r="AG21" s="2"/>
      <c r="AH21" s="2"/>
      <c r="AI21" s="9"/>
    </row>
    <row r="22" spans="1:35" x14ac:dyDescent="0.35">
      <c r="A22" s="30"/>
      <c r="B22" s="30"/>
      <c r="C22" s="30"/>
      <c r="D22" s="30"/>
      <c r="E22" s="30"/>
      <c r="F22" s="30"/>
      <c r="G22" s="30"/>
      <c r="H22" s="30"/>
      <c r="I22" s="30"/>
      <c r="J22" s="30"/>
      <c r="K22" s="30"/>
      <c r="L22" s="30"/>
      <c r="M22" s="30"/>
      <c r="N22" s="30"/>
      <c r="O22" s="30"/>
      <c r="P22" s="30"/>
      <c r="Q22" s="30"/>
      <c r="R22" s="30"/>
      <c r="S22" s="30"/>
      <c r="T22" s="30"/>
      <c r="U22" s="30"/>
      <c r="V22" s="30"/>
      <c r="W22" s="30"/>
      <c r="X22" s="30"/>
      <c r="Y22" s="31"/>
      <c r="Z22" s="31"/>
      <c r="AA22" s="31"/>
      <c r="AB22" s="31"/>
      <c r="AC22" s="31"/>
      <c r="AD22" s="31"/>
      <c r="AE22" s="4"/>
      <c r="AF22" s="4"/>
      <c r="AG22" s="4"/>
      <c r="AH22" s="4"/>
      <c r="AI22" s="10"/>
    </row>
    <row r="23" spans="1:35" x14ac:dyDescent="0.35">
      <c r="A23" s="28"/>
      <c r="B23" s="28"/>
      <c r="C23" s="28"/>
      <c r="D23" s="28"/>
      <c r="E23" s="28"/>
      <c r="F23" s="28"/>
      <c r="G23" s="28"/>
      <c r="H23" s="28"/>
      <c r="I23" s="28"/>
      <c r="J23" s="28"/>
      <c r="K23" s="28"/>
      <c r="L23" s="28"/>
      <c r="M23" s="28"/>
      <c r="N23" s="28"/>
      <c r="O23" s="28"/>
      <c r="P23" s="28"/>
      <c r="Q23" s="28"/>
      <c r="R23" s="28"/>
      <c r="S23" s="28"/>
      <c r="T23" s="28"/>
      <c r="U23" s="28"/>
      <c r="V23" s="28"/>
      <c r="W23" s="28"/>
      <c r="X23" s="28"/>
      <c r="Y23" s="29"/>
      <c r="Z23" s="29"/>
      <c r="AA23" s="29"/>
      <c r="AB23" s="29"/>
      <c r="AC23" s="29"/>
      <c r="AD23" s="29"/>
      <c r="AE23" s="2"/>
      <c r="AF23" s="2"/>
      <c r="AG23" s="2"/>
      <c r="AH23" s="2"/>
      <c r="AI23" s="9"/>
    </row>
    <row r="24" spans="1:35" x14ac:dyDescent="0.35">
      <c r="A24" s="30"/>
      <c r="B24" s="30"/>
      <c r="C24" s="30"/>
      <c r="D24" s="30"/>
      <c r="E24" s="30"/>
      <c r="F24" s="30"/>
      <c r="G24" s="30"/>
      <c r="H24" s="30"/>
      <c r="I24" s="30"/>
      <c r="J24" s="30"/>
      <c r="K24" s="30"/>
      <c r="L24" s="30"/>
      <c r="M24" s="30"/>
      <c r="N24" s="30"/>
      <c r="O24" s="30"/>
      <c r="P24" s="30"/>
      <c r="Q24" s="30"/>
      <c r="R24" s="30"/>
      <c r="S24" s="30"/>
      <c r="T24" s="30"/>
      <c r="U24" s="30"/>
      <c r="V24" s="30"/>
      <c r="W24" s="30"/>
      <c r="X24" s="30"/>
      <c r="Y24" s="31"/>
      <c r="Z24" s="31"/>
      <c r="AA24" s="31"/>
      <c r="AB24" s="31"/>
      <c r="AC24" s="31"/>
      <c r="AD24" s="31"/>
      <c r="AE24" s="4"/>
      <c r="AF24" s="4"/>
      <c r="AG24" s="4"/>
      <c r="AH24" s="4"/>
      <c r="AI24" s="10"/>
    </row>
    <row r="25" spans="1:35" x14ac:dyDescent="0.35">
      <c r="A25" s="28"/>
      <c r="B25" s="28"/>
      <c r="C25" s="28"/>
      <c r="D25" s="28"/>
      <c r="E25" s="28"/>
      <c r="F25" s="28"/>
      <c r="G25" s="28"/>
      <c r="H25" s="28"/>
      <c r="I25" s="28"/>
      <c r="J25" s="28"/>
      <c r="K25" s="28"/>
      <c r="L25" s="28"/>
      <c r="M25" s="28"/>
      <c r="N25" s="28"/>
      <c r="O25" s="28"/>
      <c r="P25" s="28"/>
      <c r="Q25" s="28"/>
      <c r="R25" s="28"/>
      <c r="S25" s="28"/>
      <c r="T25" s="28"/>
      <c r="U25" s="28"/>
      <c r="V25" s="28"/>
      <c r="W25" s="28"/>
      <c r="X25" s="28"/>
      <c r="Y25" s="29"/>
      <c r="Z25" s="29"/>
      <c r="AA25" s="29"/>
      <c r="AB25" s="29"/>
      <c r="AC25" s="29"/>
      <c r="AD25" s="29"/>
      <c r="AE25" s="2"/>
      <c r="AF25" s="2"/>
      <c r="AG25" s="2"/>
      <c r="AH25" s="2"/>
      <c r="AI25" s="9"/>
    </row>
    <row r="26" spans="1:35" x14ac:dyDescent="0.35">
      <c r="A26" s="30"/>
      <c r="B26" s="30"/>
      <c r="C26" s="30"/>
      <c r="D26" s="30"/>
      <c r="E26" s="30"/>
      <c r="F26" s="30"/>
      <c r="G26" s="30"/>
      <c r="H26" s="30"/>
      <c r="I26" s="30"/>
      <c r="J26" s="30"/>
      <c r="K26" s="30"/>
      <c r="L26" s="30"/>
      <c r="M26" s="30"/>
      <c r="N26" s="30"/>
      <c r="O26" s="30"/>
      <c r="P26" s="30"/>
      <c r="Q26" s="30"/>
      <c r="R26" s="30"/>
      <c r="S26" s="30"/>
      <c r="T26" s="30"/>
      <c r="U26" s="30"/>
      <c r="V26" s="30"/>
      <c r="W26" s="30"/>
      <c r="X26" s="30"/>
      <c r="Y26" s="31"/>
      <c r="Z26" s="31"/>
      <c r="AA26" s="31"/>
      <c r="AB26" s="31"/>
      <c r="AC26" s="31"/>
      <c r="AD26" s="31"/>
      <c r="AE26" s="4"/>
      <c r="AF26" s="4"/>
      <c r="AG26" s="4"/>
      <c r="AH26" s="4"/>
      <c r="AI26" s="10"/>
    </row>
    <row r="27" spans="1:35" x14ac:dyDescent="0.35">
      <c r="A27" s="28"/>
      <c r="B27" s="28"/>
      <c r="C27" s="28"/>
      <c r="D27" s="28"/>
      <c r="E27" s="28"/>
      <c r="F27" s="28"/>
      <c r="G27" s="28"/>
      <c r="H27" s="28"/>
      <c r="I27" s="28"/>
      <c r="J27" s="28"/>
      <c r="K27" s="28"/>
      <c r="L27" s="28"/>
      <c r="M27" s="28"/>
      <c r="N27" s="28"/>
      <c r="O27" s="28"/>
      <c r="P27" s="28"/>
      <c r="Q27" s="28"/>
      <c r="R27" s="28"/>
      <c r="S27" s="28"/>
      <c r="T27" s="28"/>
      <c r="U27" s="28"/>
      <c r="V27" s="28"/>
      <c r="W27" s="28"/>
      <c r="X27" s="28"/>
      <c r="Y27" s="29"/>
      <c r="Z27" s="29"/>
      <c r="AA27" s="29"/>
      <c r="AB27" s="29"/>
      <c r="AC27" s="29"/>
      <c r="AD27" s="29"/>
      <c r="AE27" s="2"/>
      <c r="AF27" s="2"/>
      <c r="AG27" s="2"/>
      <c r="AH27" s="2"/>
      <c r="AI27" s="9"/>
    </row>
    <row r="28" spans="1:35" x14ac:dyDescent="0.35">
      <c r="A28" s="30"/>
      <c r="B28" s="30"/>
      <c r="C28" s="30"/>
      <c r="D28" s="30"/>
      <c r="E28" s="30"/>
      <c r="F28" s="30"/>
      <c r="G28" s="30"/>
      <c r="H28" s="30"/>
      <c r="I28" s="30"/>
      <c r="J28" s="30"/>
      <c r="K28" s="30"/>
      <c r="L28" s="30"/>
      <c r="M28" s="30"/>
      <c r="N28" s="30"/>
      <c r="O28" s="30"/>
      <c r="P28" s="30"/>
      <c r="Q28" s="30"/>
      <c r="R28" s="30"/>
      <c r="S28" s="30"/>
      <c r="T28" s="30"/>
      <c r="U28" s="30"/>
      <c r="V28" s="30"/>
      <c r="W28" s="30"/>
      <c r="X28" s="30"/>
      <c r="Y28" s="31"/>
      <c r="Z28" s="31"/>
      <c r="AA28" s="31"/>
      <c r="AB28" s="31"/>
      <c r="AC28" s="31"/>
      <c r="AD28" s="31"/>
      <c r="AE28" s="4"/>
      <c r="AF28" s="4"/>
      <c r="AG28" s="4"/>
      <c r="AH28" s="4"/>
      <c r="AI28" s="10"/>
    </row>
    <row r="29" spans="1:35" x14ac:dyDescent="0.35">
      <c r="A29" s="28"/>
      <c r="B29" s="28"/>
      <c r="C29" s="28"/>
      <c r="D29" s="28"/>
      <c r="E29" s="28"/>
      <c r="F29" s="28"/>
      <c r="G29" s="28"/>
      <c r="H29" s="28"/>
      <c r="I29" s="28"/>
      <c r="J29" s="28"/>
      <c r="K29" s="28"/>
      <c r="L29" s="28"/>
      <c r="M29" s="28"/>
      <c r="N29" s="28"/>
      <c r="O29" s="28"/>
      <c r="P29" s="28"/>
      <c r="Q29" s="28"/>
      <c r="R29" s="28"/>
      <c r="S29" s="28"/>
      <c r="T29" s="28"/>
      <c r="U29" s="28"/>
      <c r="V29" s="28"/>
      <c r="W29" s="28"/>
      <c r="X29" s="28"/>
      <c r="Y29" s="29"/>
      <c r="Z29" s="29"/>
      <c r="AA29" s="29"/>
      <c r="AB29" s="29"/>
      <c r="AC29" s="29"/>
      <c r="AD29" s="29"/>
      <c r="AE29" s="2"/>
      <c r="AF29" s="2"/>
      <c r="AG29" s="2"/>
      <c r="AH29" s="2"/>
      <c r="AI29" s="9"/>
    </row>
    <row r="30" spans="1:35" x14ac:dyDescent="0.35">
      <c r="A30" s="30"/>
      <c r="B30" s="30"/>
      <c r="C30" s="30"/>
      <c r="D30" s="30"/>
      <c r="E30" s="30"/>
      <c r="F30" s="30"/>
      <c r="G30" s="30"/>
      <c r="H30" s="30"/>
      <c r="I30" s="30"/>
      <c r="J30" s="30"/>
      <c r="K30" s="30"/>
      <c r="L30" s="30"/>
      <c r="M30" s="30"/>
      <c r="N30" s="30"/>
      <c r="O30" s="30"/>
      <c r="P30" s="30"/>
      <c r="Q30" s="30"/>
      <c r="R30" s="30"/>
      <c r="S30" s="30"/>
      <c r="T30" s="30"/>
      <c r="U30" s="30"/>
      <c r="V30" s="30"/>
      <c r="W30" s="30"/>
      <c r="X30" s="30"/>
      <c r="Y30" s="31"/>
      <c r="Z30" s="31"/>
      <c r="AA30" s="31"/>
      <c r="AB30" s="31"/>
      <c r="AC30" s="31"/>
      <c r="AD30" s="31"/>
      <c r="AE30" s="4"/>
      <c r="AF30" s="4"/>
      <c r="AG30" s="4"/>
      <c r="AH30" s="4"/>
      <c r="AI30" s="10"/>
    </row>
    <row r="31" spans="1:35" x14ac:dyDescent="0.35">
      <c r="A31" s="28"/>
      <c r="B31" s="28"/>
      <c r="C31" s="28"/>
      <c r="D31" s="28"/>
      <c r="E31" s="28"/>
      <c r="F31" s="28"/>
      <c r="G31" s="28"/>
      <c r="H31" s="28"/>
      <c r="I31" s="28"/>
      <c r="J31" s="28"/>
      <c r="K31" s="28"/>
      <c r="L31" s="28"/>
      <c r="M31" s="28"/>
      <c r="N31" s="28"/>
      <c r="O31" s="28"/>
      <c r="P31" s="28"/>
      <c r="Q31" s="28"/>
      <c r="R31" s="28"/>
      <c r="S31" s="28"/>
      <c r="T31" s="28"/>
      <c r="U31" s="28"/>
      <c r="V31" s="28"/>
      <c r="W31" s="28"/>
      <c r="X31" s="28"/>
      <c r="Y31" s="29"/>
      <c r="Z31" s="29"/>
      <c r="AA31" s="29"/>
      <c r="AB31" s="29"/>
      <c r="AC31" s="29"/>
      <c r="AD31" s="29"/>
      <c r="AE31" s="2"/>
      <c r="AF31" s="2"/>
      <c r="AG31" s="2"/>
      <c r="AH31" s="2"/>
      <c r="AI31" s="9"/>
    </row>
    <row r="32" spans="1:35" x14ac:dyDescent="0.35">
      <c r="A32" s="30"/>
      <c r="B32" s="30"/>
      <c r="C32" s="30"/>
      <c r="D32" s="30"/>
      <c r="E32" s="30"/>
      <c r="F32" s="30"/>
      <c r="G32" s="30"/>
      <c r="H32" s="30"/>
      <c r="I32" s="30"/>
      <c r="J32" s="30"/>
      <c r="K32" s="30"/>
      <c r="L32" s="30"/>
      <c r="M32" s="30"/>
      <c r="N32" s="30"/>
      <c r="O32" s="30"/>
      <c r="P32" s="30"/>
      <c r="Q32" s="30"/>
      <c r="R32" s="30"/>
      <c r="S32" s="30"/>
      <c r="T32" s="30"/>
      <c r="U32" s="30"/>
      <c r="V32" s="30"/>
      <c r="W32" s="30"/>
      <c r="X32" s="30"/>
      <c r="Y32" s="31"/>
      <c r="Z32" s="31"/>
      <c r="AA32" s="31"/>
      <c r="AB32" s="31"/>
      <c r="AC32" s="31"/>
      <c r="AD32" s="31"/>
      <c r="AE32" s="4"/>
      <c r="AF32" s="4"/>
      <c r="AG32" s="4"/>
      <c r="AH32" s="4"/>
      <c r="AI32" s="10"/>
    </row>
    <row r="33" spans="1:35" x14ac:dyDescent="0.35">
      <c r="A33" s="28"/>
      <c r="B33" s="28"/>
      <c r="C33" s="28"/>
      <c r="D33" s="28"/>
      <c r="E33" s="28"/>
      <c r="F33" s="28"/>
      <c r="G33" s="28"/>
      <c r="H33" s="28"/>
      <c r="I33" s="28"/>
      <c r="J33" s="28"/>
      <c r="K33" s="28"/>
      <c r="L33" s="28"/>
      <c r="M33" s="28"/>
      <c r="N33" s="28"/>
      <c r="O33" s="28"/>
      <c r="P33" s="28"/>
      <c r="Q33" s="28"/>
      <c r="R33" s="28"/>
      <c r="S33" s="28"/>
      <c r="T33" s="28"/>
      <c r="U33" s="28"/>
      <c r="V33" s="28"/>
      <c r="W33" s="28"/>
      <c r="X33" s="28"/>
      <c r="Y33" s="29"/>
      <c r="Z33" s="29"/>
      <c r="AA33" s="29"/>
      <c r="AB33" s="29"/>
      <c r="AC33" s="29"/>
      <c r="AD33" s="29"/>
      <c r="AE33" s="2"/>
      <c r="AF33" s="2"/>
      <c r="AG33" s="2"/>
      <c r="AH33" s="2"/>
      <c r="AI33" s="9"/>
    </row>
    <row r="34" spans="1:35" x14ac:dyDescent="0.35">
      <c r="A34" s="30"/>
      <c r="B34" s="30"/>
      <c r="C34" s="30"/>
      <c r="D34" s="30"/>
      <c r="E34" s="30"/>
      <c r="F34" s="30"/>
      <c r="G34" s="30"/>
      <c r="H34" s="30"/>
      <c r="I34" s="30"/>
      <c r="J34" s="30"/>
      <c r="K34" s="30"/>
      <c r="L34" s="30"/>
      <c r="M34" s="30"/>
      <c r="N34" s="30"/>
      <c r="O34" s="30"/>
      <c r="P34" s="30"/>
      <c r="Q34" s="30"/>
      <c r="R34" s="30"/>
      <c r="S34" s="30"/>
      <c r="T34" s="30"/>
      <c r="U34" s="30"/>
      <c r="V34" s="30"/>
      <c r="W34" s="30"/>
      <c r="X34" s="30"/>
      <c r="Y34" s="31"/>
      <c r="Z34" s="31"/>
      <c r="AA34" s="31"/>
      <c r="AB34" s="31"/>
      <c r="AC34" s="31"/>
      <c r="AD34" s="31"/>
      <c r="AE34" s="4"/>
      <c r="AF34" s="4"/>
      <c r="AG34" s="4"/>
      <c r="AH34" s="4"/>
      <c r="AI34" s="10"/>
    </row>
    <row r="35" spans="1:35" x14ac:dyDescent="0.35">
      <c r="A35" s="28"/>
      <c r="B35" s="28"/>
      <c r="C35" s="28"/>
      <c r="D35" s="28"/>
      <c r="E35" s="28"/>
      <c r="F35" s="28"/>
      <c r="G35" s="28"/>
      <c r="H35" s="28"/>
      <c r="I35" s="28"/>
      <c r="J35" s="28"/>
      <c r="K35" s="28"/>
      <c r="L35" s="28"/>
      <c r="M35" s="28"/>
      <c r="N35" s="28"/>
      <c r="O35" s="28"/>
      <c r="P35" s="28"/>
      <c r="Q35" s="28"/>
      <c r="R35" s="28"/>
      <c r="S35" s="28"/>
      <c r="T35" s="28"/>
      <c r="U35" s="28"/>
      <c r="V35" s="28"/>
      <c r="W35" s="28"/>
      <c r="X35" s="28"/>
      <c r="Y35" s="29"/>
      <c r="Z35" s="29"/>
      <c r="AA35" s="29"/>
      <c r="AB35" s="29"/>
      <c r="AC35" s="29"/>
      <c r="AD35" s="29"/>
      <c r="AE35" s="2"/>
      <c r="AF35" s="2"/>
      <c r="AG35" s="2"/>
      <c r="AH35" s="2"/>
      <c r="AI35" s="9"/>
    </row>
    <row r="36" spans="1:35" x14ac:dyDescent="0.35">
      <c r="A36" s="30"/>
      <c r="B36" s="30"/>
      <c r="C36" s="30"/>
      <c r="D36" s="30"/>
      <c r="E36" s="30"/>
      <c r="F36" s="30"/>
      <c r="G36" s="30"/>
      <c r="H36" s="30"/>
      <c r="I36" s="30"/>
      <c r="J36" s="30"/>
      <c r="K36" s="30"/>
      <c r="L36" s="30"/>
      <c r="M36" s="30"/>
      <c r="N36" s="30"/>
      <c r="O36" s="30"/>
      <c r="P36" s="30"/>
      <c r="Q36" s="30"/>
      <c r="R36" s="30"/>
      <c r="S36" s="30"/>
      <c r="T36" s="30"/>
      <c r="U36" s="30"/>
      <c r="V36" s="30"/>
      <c r="W36" s="30"/>
      <c r="X36" s="30"/>
      <c r="Y36" s="31"/>
      <c r="Z36" s="31"/>
      <c r="AA36" s="31"/>
      <c r="AB36" s="31"/>
      <c r="AC36" s="31"/>
      <c r="AD36" s="31"/>
      <c r="AE36" s="4"/>
      <c r="AF36" s="4"/>
      <c r="AG36" s="4"/>
      <c r="AH36" s="4"/>
      <c r="AI36" s="10"/>
    </row>
    <row r="37" spans="1:35" x14ac:dyDescent="0.35">
      <c r="A37" s="28"/>
      <c r="B37" s="28"/>
      <c r="C37" s="28"/>
      <c r="D37" s="28"/>
      <c r="E37" s="28"/>
      <c r="F37" s="28"/>
      <c r="G37" s="28"/>
      <c r="H37" s="28"/>
      <c r="I37" s="28"/>
      <c r="J37" s="28"/>
      <c r="K37" s="28"/>
      <c r="L37" s="28"/>
      <c r="M37" s="28"/>
      <c r="N37" s="28"/>
      <c r="O37" s="28"/>
      <c r="P37" s="28"/>
      <c r="Q37" s="28"/>
      <c r="R37" s="28"/>
      <c r="S37" s="28"/>
      <c r="T37" s="28"/>
      <c r="U37" s="28"/>
      <c r="V37" s="28"/>
      <c r="W37" s="28"/>
      <c r="X37" s="28"/>
      <c r="Y37" s="29"/>
      <c r="Z37" s="29"/>
      <c r="AA37" s="29"/>
      <c r="AB37" s="29"/>
      <c r="AC37" s="29"/>
      <c r="AD37" s="29"/>
      <c r="AE37" s="2"/>
      <c r="AF37" s="2"/>
      <c r="AG37" s="2"/>
      <c r="AH37" s="2"/>
      <c r="AI37" s="9"/>
    </row>
    <row r="38" spans="1:35" x14ac:dyDescent="0.35">
      <c r="A38" s="30"/>
      <c r="B38" s="30"/>
      <c r="C38" s="30"/>
      <c r="D38" s="30"/>
      <c r="E38" s="30"/>
      <c r="F38" s="30"/>
      <c r="G38" s="30"/>
      <c r="H38" s="30"/>
      <c r="I38" s="30"/>
      <c r="J38" s="30"/>
      <c r="K38" s="30"/>
      <c r="L38" s="30"/>
      <c r="M38" s="30"/>
      <c r="N38" s="30"/>
      <c r="O38" s="30"/>
      <c r="P38" s="30"/>
      <c r="Q38" s="30"/>
      <c r="R38" s="30"/>
      <c r="S38" s="30"/>
      <c r="T38" s="30"/>
      <c r="U38" s="30"/>
      <c r="V38" s="30"/>
      <c r="W38" s="30"/>
      <c r="X38" s="30"/>
      <c r="Y38" s="31"/>
      <c r="Z38" s="31"/>
      <c r="AA38" s="31"/>
      <c r="AB38" s="31"/>
      <c r="AC38" s="31"/>
      <c r="AD38" s="31"/>
      <c r="AE38" s="4"/>
      <c r="AF38" s="4"/>
      <c r="AG38" s="4"/>
      <c r="AH38" s="4"/>
      <c r="AI38" s="10"/>
    </row>
    <row r="39" spans="1:35" x14ac:dyDescent="0.35">
      <c r="A39" s="28"/>
      <c r="B39" s="28"/>
      <c r="C39" s="28"/>
      <c r="D39" s="28"/>
      <c r="E39" s="28"/>
      <c r="F39" s="28"/>
      <c r="G39" s="28"/>
      <c r="H39" s="28"/>
      <c r="I39" s="28"/>
      <c r="J39" s="28"/>
      <c r="K39" s="28"/>
      <c r="L39" s="28"/>
      <c r="M39" s="28"/>
      <c r="N39" s="28"/>
      <c r="O39" s="28"/>
      <c r="P39" s="28"/>
      <c r="Q39" s="28"/>
      <c r="R39" s="28"/>
      <c r="S39" s="28"/>
      <c r="T39" s="28"/>
      <c r="U39" s="28"/>
      <c r="V39" s="28"/>
      <c r="W39" s="28"/>
      <c r="X39" s="28"/>
      <c r="Y39" s="29"/>
      <c r="Z39" s="29"/>
      <c r="AA39" s="29"/>
      <c r="AB39" s="29"/>
      <c r="AC39" s="29"/>
      <c r="AD39" s="29"/>
      <c r="AE39" s="2"/>
      <c r="AF39" s="2"/>
      <c r="AG39" s="2"/>
      <c r="AH39" s="2"/>
      <c r="AI39" s="9"/>
    </row>
    <row r="40" spans="1:35" x14ac:dyDescent="0.35">
      <c r="A40" s="30"/>
      <c r="B40" s="30"/>
      <c r="C40" s="30"/>
      <c r="D40" s="30"/>
      <c r="E40" s="30"/>
      <c r="F40" s="30"/>
      <c r="G40" s="30"/>
      <c r="H40" s="30"/>
      <c r="I40" s="30"/>
      <c r="J40" s="30"/>
      <c r="K40" s="30"/>
      <c r="L40" s="30"/>
      <c r="M40" s="30"/>
      <c r="N40" s="30"/>
      <c r="O40" s="30"/>
      <c r="P40" s="30"/>
      <c r="Q40" s="30"/>
      <c r="R40" s="30"/>
      <c r="S40" s="30"/>
      <c r="T40" s="30"/>
      <c r="U40" s="30"/>
      <c r="V40" s="30"/>
      <c r="W40" s="30"/>
      <c r="X40" s="30"/>
      <c r="Y40" s="31"/>
      <c r="Z40" s="31"/>
      <c r="AA40" s="31"/>
      <c r="AB40" s="31"/>
      <c r="AC40" s="31"/>
      <c r="AD40" s="31"/>
      <c r="AE40" s="4"/>
      <c r="AF40" s="4"/>
      <c r="AG40" s="4"/>
      <c r="AH40" s="4"/>
      <c r="AI40" s="10"/>
    </row>
    <row r="41" spans="1:35" x14ac:dyDescent="0.35">
      <c r="A41" s="28"/>
      <c r="B41" s="28"/>
      <c r="C41" s="28"/>
      <c r="D41" s="28"/>
      <c r="E41" s="28"/>
      <c r="F41" s="28"/>
      <c r="G41" s="28"/>
      <c r="H41" s="28"/>
      <c r="I41" s="28"/>
      <c r="J41" s="28"/>
      <c r="K41" s="28"/>
      <c r="L41" s="28"/>
      <c r="M41" s="28"/>
      <c r="N41" s="28"/>
      <c r="O41" s="28"/>
      <c r="P41" s="28"/>
      <c r="Q41" s="28"/>
      <c r="R41" s="28"/>
      <c r="S41" s="28"/>
      <c r="T41" s="28"/>
      <c r="U41" s="28"/>
      <c r="V41" s="28"/>
      <c r="W41" s="28"/>
      <c r="X41" s="28"/>
      <c r="Y41" s="29"/>
      <c r="Z41" s="29"/>
      <c r="AA41" s="29"/>
      <c r="AB41" s="29"/>
      <c r="AC41" s="29"/>
      <c r="AD41" s="29"/>
      <c r="AE41" s="2"/>
      <c r="AF41" s="2"/>
      <c r="AG41" s="2"/>
      <c r="AH41" s="2"/>
      <c r="AI41" s="9"/>
    </row>
    <row r="42" spans="1:35" x14ac:dyDescent="0.35">
      <c r="A42" s="30"/>
      <c r="B42" s="30"/>
      <c r="C42" s="30"/>
      <c r="D42" s="30"/>
      <c r="E42" s="30"/>
      <c r="F42" s="30"/>
      <c r="G42" s="30"/>
      <c r="H42" s="30"/>
      <c r="I42" s="30"/>
      <c r="J42" s="30"/>
      <c r="K42" s="30"/>
      <c r="L42" s="30"/>
      <c r="M42" s="30"/>
      <c r="N42" s="30"/>
      <c r="O42" s="30"/>
      <c r="P42" s="30"/>
      <c r="Q42" s="30"/>
      <c r="R42" s="30"/>
      <c r="S42" s="30"/>
      <c r="T42" s="30"/>
      <c r="U42" s="30"/>
      <c r="V42" s="30"/>
      <c r="W42" s="30"/>
      <c r="X42" s="30"/>
      <c r="Y42" s="31"/>
      <c r="Z42" s="31"/>
      <c r="AA42" s="31"/>
      <c r="AB42" s="31"/>
      <c r="AC42" s="31"/>
      <c r="AD42" s="31"/>
      <c r="AE42" s="4"/>
      <c r="AF42" s="4"/>
      <c r="AG42" s="4"/>
      <c r="AH42" s="4"/>
      <c r="AI42" s="10"/>
    </row>
    <row r="43" spans="1:35" x14ac:dyDescent="0.35">
      <c r="A43" s="28"/>
      <c r="B43" s="28"/>
      <c r="C43" s="28"/>
      <c r="D43" s="28"/>
      <c r="E43" s="28"/>
      <c r="F43" s="28"/>
      <c r="G43" s="28"/>
      <c r="H43" s="28"/>
      <c r="I43" s="28"/>
      <c r="J43" s="28"/>
      <c r="K43" s="28"/>
      <c r="L43" s="28"/>
      <c r="M43" s="28"/>
      <c r="N43" s="28"/>
      <c r="O43" s="28"/>
      <c r="P43" s="28"/>
      <c r="Q43" s="28"/>
      <c r="R43" s="28"/>
      <c r="S43" s="28"/>
      <c r="T43" s="28"/>
      <c r="U43" s="28"/>
      <c r="V43" s="28"/>
      <c r="W43" s="28"/>
      <c r="X43" s="28"/>
      <c r="Y43" s="29"/>
      <c r="Z43" s="29"/>
      <c r="AA43" s="29"/>
      <c r="AB43" s="29"/>
      <c r="AC43" s="29"/>
      <c r="AD43" s="29"/>
      <c r="AE43" s="2"/>
      <c r="AF43" s="2"/>
      <c r="AG43" s="2"/>
      <c r="AH43" s="2"/>
      <c r="AI43" s="9"/>
    </row>
    <row r="44" spans="1:35" x14ac:dyDescent="0.35">
      <c r="A44" s="30"/>
      <c r="B44" s="30"/>
      <c r="C44" s="30"/>
      <c r="D44" s="30"/>
      <c r="E44" s="30"/>
      <c r="F44" s="30"/>
      <c r="G44" s="30"/>
      <c r="H44" s="30"/>
      <c r="I44" s="30"/>
      <c r="J44" s="30"/>
      <c r="K44" s="30"/>
      <c r="L44" s="30"/>
      <c r="M44" s="30"/>
      <c r="N44" s="30"/>
      <c r="O44" s="30"/>
      <c r="P44" s="30"/>
      <c r="Q44" s="30"/>
      <c r="R44" s="30"/>
      <c r="S44" s="30"/>
      <c r="T44" s="30"/>
      <c r="U44" s="30"/>
      <c r="V44" s="30"/>
      <c r="W44" s="30"/>
      <c r="X44" s="30"/>
      <c r="Y44" s="31"/>
      <c r="Z44" s="31"/>
      <c r="AA44" s="31"/>
      <c r="AB44" s="31"/>
      <c r="AC44" s="31"/>
      <c r="AD44" s="31"/>
      <c r="AE44" s="4"/>
      <c r="AF44" s="4"/>
      <c r="AG44" s="4"/>
      <c r="AH44" s="4"/>
      <c r="AI44" s="10"/>
    </row>
    <row r="45" spans="1:35" x14ac:dyDescent="0.35">
      <c r="A45" s="28"/>
      <c r="B45" s="28"/>
      <c r="C45" s="28"/>
      <c r="D45" s="28"/>
      <c r="E45" s="28"/>
      <c r="F45" s="28"/>
      <c r="G45" s="28"/>
      <c r="H45" s="28"/>
      <c r="I45" s="28"/>
      <c r="J45" s="28"/>
      <c r="K45" s="28"/>
      <c r="L45" s="28"/>
      <c r="M45" s="28"/>
      <c r="N45" s="28"/>
      <c r="O45" s="28"/>
      <c r="P45" s="28"/>
      <c r="Q45" s="28"/>
      <c r="R45" s="28"/>
      <c r="S45" s="28"/>
      <c r="T45" s="28"/>
      <c r="U45" s="28"/>
      <c r="V45" s="28"/>
      <c r="W45" s="28"/>
      <c r="X45" s="28"/>
      <c r="Y45" s="29"/>
      <c r="Z45" s="29"/>
      <c r="AA45" s="29"/>
      <c r="AB45" s="29"/>
      <c r="AC45" s="29"/>
      <c r="AD45" s="29"/>
      <c r="AE45" s="2"/>
      <c r="AF45" s="2"/>
      <c r="AG45" s="2"/>
      <c r="AH45" s="2"/>
      <c r="AI45" s="9"/>
    </row>
    <row r="46" spans="1:35" x14ac:dyDescent="0.35">
      <c r="A46" s="30"/>
      <c r="B46" s="30"/>
      <c r="C46" s="30"/>
      <c r="D46" s="30"/>
      <c r="E46" s="30"/>
      <c r="F46" s="30"/>
      <c r="G46" s="30"/>
      <c r="H46" s="30"/>
      <c r="I46" s="30"/>
      <c r="J46" s="30"/>
      <c r="K46" s="30"/>
      <c r="L46" s="30"/>
      <c r="M46" s="30"/>
      <c r="N46" s="30"/>
      <c r="O46" s="30"/>
      <c r="P46" s="30"/>
      <c r="Q46" s="30"/>
      <c r="R46" s="30"/>
      <c r="S46" s="30"/>
      <c r="T46" s="30"/>
      <c r="U46" s="30"/>
      <c r="V46" s="30"/>
      <c r="W46" s="30"/>
      <c r="X46" s="30"/>
      <c r="Y46" s="31"/>
      <c r="Z46" s="31"/>
      <c r="AA46" s="31"/>
      <c r="AB46" s="31"/>
      <c r="AC46" s="31"/>
      <c r="AD46" s="31"/>
      <c r="AE46" s="4"/>
      <c r="AF46" s="4"/>
      <c r="AG46" s="4"/>
      <c r="AH46" s="4"/>
      <c r="AI46" s="10"/>
    </row>
    <row r="47" spans="1:35" x14ac:dyDescent="0.35">
      <c r="A47" s="28"/>
      <c r="B47" s="28"/>
      <c r="C47" s="28"/>
      <c r="D47" s="28"/>
      <c r="E47" s="28"/>
      <c r="F47" s="28"/>
      <c r="G47" s="28"/>
      <c r="H47" s="28"/>
      <c r="I47" s="28"/>
      <c r="J47" s="28"/>
      <c r="K47" s="28"/>
      <c r="L47" s="28"/>
      <c r="M47" s="28"/>
      <c r="N47" s="28"/>
      <c r="O47" s="28"/>
      <c r="P47" s="28"/>
      <c r="Q47" s="28"/>
      <c r="R47" s="28"/>
      <c r="S47" s="28"/>
      <c r="T47" s="28"/>
      <c r="U47" s="28"/>
      <c r="V47" s="28"/>
      <c r="W47" s="28"/>
      <c r="X47" s="28"/>
      <c r="Y47" s="29"/>
      <c r="Z47" s="29"/>
      <c r="AA47" s="29"/>
      <c r="AB47" s="29"/>
      <c r="AC47" s="29"/>
      <c r="AD47" s="29"/>
      <c r="AE47" s="2"/>
      <c r="AF47" s="2"/>
      <c r="AG47" s="2"/>
      <c r="AH47" s="2"/>
      <c r="AI47" s="9"/>
    </row>
    <row r="48" spans="1:35" x14ac:dyDescent="0.35">
      <c r="A48" s="30"/>
      <c r="B48" s="30"/>
      <c r="C48" s="30"/>
      <c r="D48" s="30"/>
      <c r="E48" s="30"/>
      <c r="F48" s="30"/>
      <c r="G48" s="30"/>
      <c r="H48" s="30"/>
      <c r="I48" s="30"/>
      <c r="J48" s="30"/>
      <c r="K48" s="30"/>
      <c r="L48" s="30"/>
      <c r="M48" s="30"/>
      <c r="N48" s="30"/>
      <c r="O48" s="30"/>
      <c r="P48" s="30"/>
      <c r="Q48" s="30"/>
      <c r="R48" s="30"/>
      <c r="S48" s="30"/>
      <c r="T48" s="30"/>
      <c r="U48" s="30"/>
      <c r="V48" s="30"/>
      <c r="W48" s="30"/>
      <c r="X48" s="30"/>
      <c r="Y48" s="31"/>
      <c r="Z48" s="31"/>
      <c r="AA48" s="31"/>
      <c r="AB48" s="31"/>
      <c r="AC48" s="31"/>
      <c r="AD48" s="31"/>
      <c r="AE48" s="4"/>
      <c r="AF48" s="4"/>
      <c r="AG48" s="4"/>
      <c r="AH48" s="4"/>
      <c r="AI48" s="10"/>
    </row>
    <row r="49" spans="1:35" x14ac:dyDescent="0.35">
      <c r="A49" s="28"/>
      <c r="B49" s="28"/>
      <c r="C49" s="28"/>
      <c r="D49" s="28"/>
      <c r="E49" s="28"/>
      <c r="F49" s="28"/>
      <c r="G49" s="28"/>
      <c r="H49" s="28"/>
      <c r="I49" s="28"/>
      <c r="J49" s="28"/>
      <c r="K49" s="28"/>
      <c r="L49" s="28"/>
      <c r="M49" s="28"/>
      <c r="N49" s="28"/>
      <c r="O49" s="28"/>
      <c r="P49" s="28"/>
      <c r="Q49" s="28"/>
      <c r="R49" s="28"/>
      <c r="S49" s="28"/>
      <c r="T49" s="28"/>
      <c r="U49" s="28"/>
      <c r="V49" s="28"/>
      <c r="W49" s="28"/>
      <c r="X49" s="28"/>
      <c r="Y49" s="29"/>
      <c r="Z49" s="29"/>
      <c r="AA49" s="29"/>
      <c r="AB49" s="29"/>
      <c r="AC49" s="29"/>
      <c r="AD49" s="29"/>
      <c r="AE49" s="2"/>
      <c r="AF49" s="2"/>
      <c r="AG49" s="2"/>
      <c r="AH49" s="2"/>
      <c r="AI49" s="9"/>
    </row>
    <row r="50" spans="1:35" x14ac:dyDescent="0.35">
      <c r="A50" s="30"/>
      <c r="B50" s="30"/>
      <c r="C50" s="30"/>
      <c r="D50" s="30"/>
      <c r="E50" s="30"/>
      <c r="F50" s="30"/>
      <c r="G50" s="30"/>
      <c r="H50" s="30"/>
      <c r="I50" s="30"/>
      <c r="J50" s="30"/>
      <c r="K50" s="30"/>
      <c r="L50" s="30"/>
      <c r="M50" s="30"/>
      <c r="N50" s="30"/>
      <c r="O50" s="30"/>
      <c r="P50" s="30"/>
      <c r="Q50" s="30"/>
      <c r="R50" s="30"/>
      <c r="S50" s="30"/>
      <c r="T50" s="30"/>
      <c r="U50" s="30"/>
      <c r="V50" s="30"/>
      <c r="W50" s="30"/>
      <c r="X50" s="30"/>
      <c r="Y50" s="31"/>
      <c r="Z50" s="31"/>
      <c r="AA50" s="31"/>
      <c r="AB50" s="31"/>
      <c r="AC50" s="31"/>
      <c r="AD50" s="31"/>
      <c r="AE50" s="4"/>
      <c r="AF50" s="4"/>
      <c r="AG50" s="4"/>
      <c r="AH50" s="4"/>
      <c r="AI50" s="10"/>
    </row>
    <row r="51" spans="1:35" x14ac:dyDescent="0.35">
      <c r="A51" s="28"/>
      <c r="B51" s="28"/>
      <c r="C51" s="28"/>
      <c r="D51" s="28"/>
      <c r="E51" s="28"/>
      <c r="F51" s="28"/>
      <c r="G51" s="28"/>
      <c r="H51" s="28"/>
      <c r="I51" s="28"/>
      <c r="J51" s="28"/>
      <c r="K51" s="28"/>
      <c r="L51" s="28"/>
      <c r="M51" s="28"/>
      <c r="N51" s="28"/>
      <c r="O51" s="28"/>
      <c r="P51" s="28"/>
      <c r="Q51" s="28"/>
      <c r="R51" s="28"/>
      <c r="S51" s="28"/>
      <c r="T51" s="28"/>
      <c r="U51" s="28"/>
      <c r="V51" s="28"/>
      <c r="W51" s="28"/>
      <c r="X51" s="28"/>
      <c r="Y51" s="29"/>
      <c r="Z51" s="29"/>
      <c r="AA51" s="29"/>
      <c r="AB51" s="29"/>
      <c r="AC51" s="29"/>
      <c r="AD51" s="29"/>
      <c r="AE51" s="2"/>
      <c r="AF51" s="2"/>
      <c r="AG51" s="2"/>
      <c r="AH51" s="2"/>
      <c r="AI51" s="9"/>
    </row>
    <row r="52" spans="1:35" x14ac:dyDescent="0.35">
      <c r="A52" s="30"/>
      <c r="B52" s="30"/>
      <c r="C52" s="30"/>
      <c r="D52" s="30"/>
      <c r="E52" s="30"/>
      <c r="F52" s="30"/>
      <c r="G52" s="30"/>
      <c r="H52" s="30"/>
      <c r="I52" s="30"/>
      <c r="J52" s="30"/>
      <c r="K52" s="30"/>
      <c r="L52" s="30"/>
      <c r="M52" s="30"/>
      <c r="N52" s="30"/>
      <c r="O52" s="30"/>
      <c r="P52" s="30"/>
      <c r="Q52" s="30"/>
      <c r="R52" s="30"/>
      <c r="S52" s="30"/>
      <c r="T52" s="30"/>
      <c r="U52" s="30"/>
      <c r="V52" s="30"/>
      <c r="W52" s="30"/>
      <c r="X52" s="30"/>
      <c r="Y52" s="31"/>
      <c r="Z52" s="31"/>
      <c r="AA52" s="31"/>
      <c r="AB52" s="31"/>
      <c r="AC52" s="31"/>
      <c r="AD52" s="31"/>
      <c r="AE52" s="4"/>
      <c r="AF52" s="4"/>
      <c r="AG52" s="4"/>
      <c r="AH52" s="4"/>
      <c r="AI52" s="10"/>
    </row>
    <row r="53" spans="1:35" x14ac:dyDescent="0.35">
      <c r="A53" s="28"/>
      <c r="B53" s="28"/>
      <c r="C53" s="28"/>
      <c r="D53" s="28"/>
      <c r="E53" s="28"/>
      <c r="F53" s="28"/>
      <c r="G53" s="28"/>
      <c r="H53" s="28"/>
      <c r="I53" s="28"/>
      <c r="J53" s="28"/>
      <c r="K53" s="28"/>
      <c r="L53" s="28"/>
      <c r="M53" s="28"/>
      <c r="N53" s="28"/>
      <c r="O53" s="28"/>
      <c r="P53" s="28"/>
      <c r="Q53" s="28"/>
      <c r="R53" s="28"/>
      <c r="S53" s="28"/>
      <c r="T53" s="28"/>
      <c r="U53" s="28"/>
      <c r="V53" s="28"/>
      <c r="W53" s="28"/>
      <c r="X53" s="28"/>
      <c r="Y53" s="29"/>
      <c r="Z53" s="29"/>
      <c r="AA53" s="29"/>
      <c r="AB53" s="29"/>
      <c r="AC53" s="29"/>
      <c r="AD53" s="29"/>
      <c r="AE53" s="2"/>
      <c r="AF53" s="2"/>
      <c r="AG53" s="2"/>
      <c r="AH53" s="2"/>
      <c r="AI53" s="9"/>
    </row>
    <row r="54" spans="1:35" x14ac:dyDescent="0.35">
      <c r="A54" s="30"/>
      <c r="B54" s="30"/>
      <c r="C54" s="30"/>
      <c r="D54" s="30"/>
      <c r="E54" s="30"/>
      <c r="F54" s="30"/>
      <c r="G54" s="30"/>
      <c r="H54" s="30"/>
      <c r="I54" s="30"/>
      <c r="J54" s="30"/>
      <c r="K54" s="30"/>
      <c r="L54" s="30"/>
      <c r="M54" s="30"/>
      <c r="N54" s="30"/>
      <c r="O54" s="30"/>
      <c r="P54" s="30"/>
      <c r="Q54" s="30"/>
      <c r="R54" s="30"/>
      <c r="S54" s="30"/>
      <c r="T54" s="30"/>
      <c r="U54" s="30"/>
      <c r="V54" s="30"/>
      <c r="W54" s="30"/>
      <c r="X54" s="30"/>
      <c r="Y54" s="31"/>
      <c r="Z54" s="31"/>
      <c r="AA54" s="31"/>
      <c r="AB54" s="31"/>
      <c r="AC54" s="31"/>
      <c r="AD54" s="31"/>
      <c r="AE54" s="4"/>
      <c r="AF54" s="4"/>
      <c r="AG54" s="4"/>
      <c r="AH54" s="4"/>
      <c r="AI54" s="10"/>
    </row>
    <row r="55" spans="1:35" x14ac:dyDescent="0.35">
      <c r="A55" s="28"/>
      <c r="B55" s="28"/>
      <c r="C55" s="28"/>
      <c r="D55" s="28"/>
      <c r="E55" s="28"/>
      <c r="F55" s="28"/>
      <c r="G55" s="28"/>
      <c r="H55" s="28"/>
      <c r="I55" s="28"/>
      <c r="J55" s="28"/>
      <c r="K55" s="28"/>
      <c r="L55" s="28"/>
      <c r="M55" s="28"/>
      <c r="N55" s="28"/>
      <c r="O55" s="28"/>
      <c r="P55" s="28"/>
      <c r="Q55" s="28"/>
      <c r="R55" s="28"/>
      <c r="S55" s="28"/>
      <c r="T55" s="28"/>
      <c r="U55" s="28"/>
      <c r="V55" s="28"/>
      <c r="W55" s="28"/>
      <c r="X55" s="28"/>
      <c r="Y55" s="29"/>
      <c r="Z55" s="29"/>
      <c r="AA55" s="29"/>
      <c r="AB55" s="29"/>
      <c r="AC55" s="29"/>
      <c r="AD55" s="29"/>
      <c r="AE55" s="2"/>
      <c r="AF55" s="2"/>
      <c r="AG55" s="2"/>
      <c r="AH55" s="2"/>
      <c r="AI55" s="9"/>
    </row>
    <row r="56" spans="1:35" x14ac:dyDescent="0.35">
      <c r="A56" s="30"/>
      <c r="B56" s="30"/>
      <c r="C56" s="30"/>
      <c r="D56" s="30"/>
      <c r="E56" s="30"/>
      <c r="F56" s="30"/>
      <c r="G56" s="30"/>
      <c r="H56" s="30"/>
      <c r="I56" s="30"/>
      <c r="J56" s="30"/>
      <c r="K56" s="30"/>
      <c r="L56" s="30"/>
      <c r="M56" s="30"/>
      <c r="N56" s="30"/>
      <c r="O56" s="30"/>
      <c r="P56" s="30"/>
      <c r="Q56" s="30"/>
      <c r="R56" s="30"/>
      <c r="S56" s="30"/>
      <c r="T56" s="30"/>
      <c r="U56" s="30"/>
      <c r="V56" s="30"/>
      <c r="W56" s="30"/>
      <c r="X56" s="30"/>
      <c r="Y56" s="31"/>
      <c r="Z56" s="31"/>
      <c r="AA56" s="31"/>
      <c r="AB56" s="31"/>
      <c r="AC56" s="31"/>
      <c r="AD56" s="31"/>
      <c r="AE56" s="4"/>
      <c r="AF56" s="4"/>
      <c r="AG56" s="4"/>
      <c r="AH56" s="4"/>
      <c r="AI56" s="10"/>
    </row>
    <row r="57" spans="1:35" x14ac:dyDescent="0.35">
      <c r="A57" s="28"/>
      <c r="B57" s="28"/>
      <c r="C57" s="28"/>
      <c r="D57" s="28"/>
      <c r="E57" s="28"/>
      <c r="F57" s="28"/>
      <c r="G57" s="28"/>
      <c r="H57" s="28"/>
      <c r="I57" s="28"/>
      <c r="J57" s="28"/>
      <c r="K57" s="28"/>
      <c r="L57" s="28"/>
      <c r="M57" s="28"/>
      <c r="N57" s="28"/>
      <c r="O57" s="28"/>
      <c r="P57" s="28"/>
      <c r="Q57" s="28"/>
      <c r="R57" s="28"/>
      <c r="S57" s="28"/>
      <c r="T57" s="28"/>
      <c r="U57" s="28"/>
      <c r="V57" s="28"/>
      <c r="W57" s="28"/>
      <c r="X57" s="28"/>
      <c r="Y57" s="29"/>
      <c r="Z57" s="29"/>
      <c r="AA57" s="29"/>
      <c r="AB57" s="29"/>
      <c r="AC57" s="29"/>
      <c r="AD57" s="29"/>
      <c r="AE57" s="2"/>
      <c r="AF57" s="2"/>
      <c r="AG57" s="2"/>
      <c r="AH57" s="2"/>
      <c r="AI57" s="9"/>
    </row>
    <row r="58" spans="1:35" x14ac:dyDescent="0.35">
      <c r="A58" s="30"/>
      <c r="B58" s="30"/>
      <c r="C58" s="30"/>
      <c r="D58" s="30"/>
      <c r="E58" s="30"/>
      <c r="F58" s="30"/>
      <c r="G58" s="30"/>
      <c r="H58" s="30"/>
      <c r="I58" s="30"/>
      <c r="J58" s="30"/>
      <c r="K58" s="30"/>
      <c r="L58" s="30"/>
      <c r="M58" s="30"/>
      <c r="N58" s="30"/>
      <c r="O58" s="30"/>
      <c r="P58" s="30"/>
      <c r="Q58" s="30"/>
      <c r="R58" s="30"/>
      <c r="S58" s="30"/>
      <c r="T58" s="30"/>
      <c r="U58" s="30"/>
      <c r="V58" s="30"/>
      <c r="W58" s="30"/>
      <c r="X58" s="30"/>
      <c r="Y58" s="31"/>
      <c r="Z58" s="31"/>
      <c r="AA58" s="31"/>
      <c r="AB58" s="31"/>
      <c r="AC58" s="31"/>
      <c r="AD58" s="31"/>
      <c r="AE58" s="4"/>
      <c r="AF58" s="4"/>
      <c r="AG58" s="4"/>
      <c r="AH58" s="4"/>
      <c r="AI58" s="10"/>
    </row>
    <row r="59" spans="1:35" x14ac:dyDescent="0.35">
      <c r="A59" s="28"/>
      <c r="B59" s="28"/>
      <c r="C59" s="28"/>
      <c r="D59" s="28"/>
      <c r="E59" s="28"/>
      <c r="F59" s="28"/>
      <c r="G59" s="28"/>
      <c r="H59" s="28"/>
      <c r="I59" s="28"/>
      <c r="J59" s="28"/>
      <c r="K59" s="28"/>
      <c r="L59" s="28"/>
      <c r="M59" s="28"/>
      <c r="N59" s="28"/>
      <c r="O59" s="28"/>
      <c r="P59" s="28"/>
      <c r="Q59" s="28"/>
      <c r="R59" s="28"/>
      <c r="S59" s="28"/>
      <c r="T59" s="28"/>
      <c r="U59" s="28"/>
      <c r="V59" s="28"/>
      <c r="W59" s="28"/>
      <c r="X59" s="28"/>
      <c r="Y59" s="29"/>
      <c r="Z59" s="29"/>
      <c r="AA59" s="29"/>
      <c r="AB59" s="29"/>
      <c r="AC59" s="29"/>
      <c r="AD59" s="29"/>
      <c r="AE59" s="2"/>
      <c r="AF59" s="2"/>
      <c r="AG59" s="2"/>
      <c r="AH59" s="2"/>
      <c r="AI59" s="9"/>
    </row>
    <row r="60" spans="1:35" x14ac:dyDescent="0.35">
      <c r="A60" s="30"/>
      <c r="B60" s="30"/>
      <c r="C60" s="30"/>
      <c r="D60" s="30"/>
      <c r="E60" s="30"/>
      <c r="F60" s="30"/>
      <c r="G60" s="30"/>
      <c r="H60" s="30"/>
      <c r="I60" s="30"/>
      <c r="J60" s="30"/>
      <c r="K60" s="30"/>
      <c r="L60" s="30"/>
      <c r="M60" s="30"/>
      <c r="N60" s="30"/>
      <c r="O60" s="30"/>
      <c r="P60" s="30"/>
      <c r="Q60" s="30"/>
      <c r="R60" s="30"/>
      <c r="S60" s="30"/>
      <c r="T60" s="30"/>
      <c r="U60" s="30"/>
      <c r="V60" s="30"/>
      <c r="W60" s="30"/>
      <c r="X60" s="30"/>
      <c r="Y60" s="31"/>
      <c r="Z60" s="31"/>
      <c r="AA60" s="31"/>
      <c r="AB60" s="31"/>
      <c r="AC60" s="31"/>
      <c r="AD60" s="31"/>
      <c r="AE60" s="4"/>
      <c r="AF60" s="4"/>
      <c r="AG60" s="4"/>
      <c r="AH60" s="4"/>
      <c r="AI60" s="10"/>
    </row>
    <row r="61" spans="1:35" x14ac:dyDescent="0.35">
      <c r="A61" s="28"/>
      <c r="B61" s="28"/>
      <c r="C61" s="28"/>
      <c r="D61" s="28"/>
      <c r="E61" s="28"/>
      <c r="F61" s="28"/>
      <c r="G61" s="28"/>
      <c r="H61" s="28"/>
      <c r="I61" s="28"/>
      <c r="J61" s="28"/>
      <c r="K61" s="28"/>
      <c r="L61" s="28"/>
      <c r="M61" s="28"/>
      <c r="N61" s="28"/>
      <c r="O61" s="28"/>
      <c r="P61" s="28"/>
      <c r="Q61" s="28"/>
      <c r="R61" s="28"/>
      <c r="S61" s="28"/>
      <c r="T61" s="28"/>
      <c r="U61" s="28"/>
      <c r="V61" s="28"/>
      <c r="W61" s="28"/>
      <c r="X61" s="28"/>
      <c r="Y61" s="29"/>
      <c r="Z61" s="29"/>
      <c r="AA61" s="29"/>
      <c r="AB61" s="29"/>
      <c r="AC61" s="29"/>
      <c r="AD61" s="29"/>
      <c r="AE61" s="2"/>
      <c r="AF61" s="2"/>
      <c r="AG61" s="2"/>
      <c r="AH61" s="2"/>
      <c r="AI61" s="9"/>
    </row>
    <row r="62" spans="1:35" x14ac:dyDescent="0.35">
      <c r="A62" s="30"/>
      <c r="B62" s="30"/>
      <c r="C62" s="30"/>
      <c r="D62" s="30"/>
      <c r="E62" s="30"/>
      <c r="F62" s="30"/>
      <c r="G62" s="30"/>
      <c r="H62" s="30"/>
      <c r="I62" s="30"/>
      <c r="J62" s="30"/>
      <c r="K62" s="30"/>
      <c r="L62" s="30"/>
      <c r="M62" s="30"/>
      <c r="N62" s="30"/>
      <c r="O62" s="30"/>
      <c r="P62" s="30"/>
      <c r="Q62" s="30"/>
      <c r="R62" s="30"/>
      <c r="S62" s="30"/>
      <c r="T62" s="30"/>
      <c r="U62" s="30"/>
      <c r="V62" s="30"/>
      <c r="W62" s="30"/>
      <c r="X62" s="30"/>
      <c r="Y62" s="31"/>
      <c r="Z62" s="31"/>
      <c r="AA62" s="31"/>
      <c r="AB62" s="31"/>
      <c r="AC62" s="31"/>
      <c r="AD62" s="31"/>
      <c r="AE62" s="4"/>
      <c r="AF62" s="4"/>
      <c r="AG62" s="4"/>
      <c r="AH62" s="4"/>
      <c r="AI62" s="10"/>
    </row>
    <row r="63" spans="1:35" x14ac:dyDescent="0.35">
      <c r="A63" s="28"/>
      <c r="B63" s="28"/>
      <c r="C63" s="28"/>
      <c r="D63" s="28"/>
      <c r="E63" s="28"/>
      <c r="F63" s="28"/>
      <c r="G63" s="28"/>
      <c r="H63" s="28"/>
      <c r="I63" s="28"/>
      <c r="J63" s="28"/>
      <c r="K63" s="28"/>
      <c r="L63" s="28"/>
      <c r="M63" s="28"/>
      <c r="N63" s="28"/>
      <c r="O63" s="28"/>
      <c r="P63" s="28"/>
      <c r="Q63" s="28"/>
      <c r="R63" s="28"/>
      <c r="S63" s="28"/>
      <c r="T63" s="28"/>
      <c r="U63" s="28"/>
      <c r="V63" s="28"/>
      <c r="W63" s="28"/>
      <c r="X63" s="28"/>
      <c r="Y63" s="29"/>
      <c r="Z63" s="29"/>
      <c r="AA63" s="29"/>
      <c r="AB63" s="29"/>
      <c r="AC63" s="29"/>
      <c r="AD63" s="29"/>
      <c r="AE63" s="2"/>
      <c r="AF63" s="2"/>
      <c r="AG63" s="2"/>
      <c r="AH63" s="2"/>
      <c r="AI63" s="9"/>
    </row>
    <row r="64" spans="1:35" x14ac:dyDescent="0.35">
      <c r="A64" s="30"/>
      <c r="B64" s="30"/>
      <c r="C64" s="30"/>
      <c r="D64" s="30"/>
      <c r="E64" s="30"/>
      <c r="F64" s="30"/>
      <c r="G64" s="30"/>
      <c r="H64" s="30"/>
      <c r="I64" s="30"/>
      <c r="J64" s="30"/>
      <c r="K64" s="30"/>
      <c r="L64" s="30"/>
      <c r="M64" s="30"/>
      <c r="N64" s="30"/>
      <c r="O64" s="30"/>
      <c r="P64" s="30"/>
      <c r="Q64" s="30"/>
      <c r="R64" s="30"/>
      <c r="S64" s="30"/>
      <c r="T64" s="30"/>
      <c r="U64" s="30"/>
      <c r="V64" s="30"/>
      <c r="W64" s="30"/>
      <c r="X64" s="30"/>
      <c r="Y64" s="31"/>
      <c r="Z64" s="31"/>
      <c r="AA64" s="31"/>
      <c r="AB64" s="31"/>
      <c r="AC64" s="31"/>
      <c r="AD64" s="31"/>
      <c r="AE64" s="4"/>
      <c r="AF64" s="4"/>
      <c r="AG64" s="4"/>
      <c r="AH64" s="4"/>
      <c r="AI64" s="10"/>
    </row>
    <row r="65" spans="1:35" x14ac:dyDescent="0.35">
      <c r="A65" s="28"/>
      <c r="B65" s="28"/>
      <c r="C65" s="28"/>
      <c r="D65" s="28"/>
      <c r="E65" s="28"/>
      <c r="F65" s="28"/>
      <c r="G65" s="28"/>
      <c r="H65" s="28"/>
      <c r="I65" s="28"/>
      <c r="J65" s="28"/>
      <c r="K65" s="28"/>
      <c r="L65" s="28"/>
      <c r="M65" s="28"/>
      <c r="N65" s="28"/>
      <c r="O65" s="28"/>
      <c r="P65" s="28"/>
      <c r="Q65" s="28"/>
      <c r="R65" s="28"/>
      <c r="S65" s="28"/>
      <c r="T65" s="28"/>
      <c r="U65" s="28"/>
      <c r="V65" s="28"/>
      <c r="W65" s="28"/>
      <c r="X65" s="28"/>
      <c r="Y65" s="29"/>
      <c r="Z65" s="29"/>
      <c r="AA65" s="29"/>
      <c r="AB65" s="29"/>
      <c r="AC65" s="29"/>
      <c r="AD65" s="29"/>
      <c r="AE65" s="2"/>
      <c r="AF65" s="2"/>
      <c r="AG65" s="2"/>
      <c r="AH65" s="2"/>
      <c r="AI65" s="9"/>
    </row>
    <row r="66" spans="1:35" x14ac:dyDescent="0.35">
      <c r="A66" s="30"/>
      <c r="B66" s="30"/>
      <c r="C66" s="30"/>
      <c r="D66" s="30"/>
      <c r="E66" s="30"/>
      <c r="F66" s="30"/>
      <c r="G66" s="30"/>
      <c r="H66" s="30"/>
      <c r="I66" s="30"/>
      <c r="J66" s="30"/>
      <c r="K66" s="30"/>
      <c r="L66" s="30"/>
      <c r="M66" s="30"/>
      <c r="N66" s="30"/>
      <c r="O66" s="30"/>
      <c r="P66" s="30"/>
      <c r="Q66" s="30"/>
      <c r="R66" s="30"/>
      <c r="S66" s="30"/>
      <c r="T66" s="30"/>
      <c r="U66" s="30"/>
      <c r="V66" s="30"/>
      <c r="W66" s="30"/>
      <c r="X66" s="30"/>
      <c r="Y66" s="31"/>
      <c r="Z66" s="31"/>
      <c r="AA66" s="31"/>
      <c r="AB66" s="31"/>
      <c r="AC66" s="31"/>
      <c r="AD66" s="31"/>
      <c r="AE66" s="4"/>
      <c r="AF66" s="4"/>
      <c r="AG66" s="4"/>
      <c r="AH66" s="4"/>
      <c r="AI66" s="10"/>
    </row>
    <row r="67" spans="1:35" x14ac:dyDescent="0.35">
      <c r="A67" s="28"/>
      <c r="B67" s="28"/>
      <c r="C67" s="28"/>
      <c r="D67" s="28"/>
      <c r="E67" s="28"/>
      <c r="F67" s="28"/>
      <c r="G67" s="28"/>
      <c r="H67" s="28"/>
      <c r="I67" s="28"/>
      <c r="J67" s="28"/>
      <c r="K67" s="28"/>
      <c r="L67" s="28"/>
      <c r="M67" s="28"/>
      <c r="N67" s="28"/>
      <c r="O67" s="28"/>
      <c r="P67" s="28"/>
      <c r="Q67" s="28"/>
      <c r="R67" s="28"/>
      <c r="S67" s="28"/>
      <c r="T67" s="28"/>
      <c r="U67" s="28"/>
      <c r="V67" s="28"/>
      <c r="W67" s="28"/>
      <c r="X67" s="28"/>
      <c r="Y67" s="29"/>
      <c r="Z67" s="29"/>
      <c r="AA67" s="29"/>
      <c r="AB67" s="29"/>
      <c r="AC67" s="29"/>
      <c r="AD67" s="29"/>
      <c r="AE67" s="2"/>
      <c r="AF67" s="2"/>
      <c r="AG67" s="2"/>
      <c r="AH67" s="2"/>
      <c r="AI67" s="9"/>
    </row>
    <row r="68" spans="1:35" x14ac:dyDescent="0.35">
      <c r="A68" s="30"/>
      <c r="B68" s="30"/>
      <c r="C68" s="30"/>
      <c r="D68" s="30"/>
      <c r="E68" s="30"/>
      <c r="F68" s="30"/>
      <c r="G68" s="30"/>
      <c r="H68" s="30"/>
      <c r="I68" s="30"/>
      <c r="J68" s="30"/>
      <c r="K68" s="30"/>
      <c r="L68" s="30"/>
      <c r="M68" s="30"/>
      <c r="N68" s="30"/>
      <c r="O68" s="30"/>
      <c r="P68" s="30"/>
      <c r="Q68" s="30"/>
      <c r="R68" s="30"/>
      <c r="S68" s="30"/>
      <c r="T68" s="30"/>
      <c r="U68" s="30"/>
      <c r="V68" s="30"/>
      <c r="W68" s="30"/>
      <c r="X68" s="30"/>
      <c r="Y68" s="31"/>
      <c r="Z68" s="31"/>
      <c r="AA68" s="31"/>
      <c r="AB68" s="31"/>
      <c r="AC68" s="31"/>
      <c r="AD68" s="31"/>
      <c r="AE68" s="4"/>
      <c r="AF68" s="4"/>
      <c r="AG68" s="4"/>
      <c r="AH68" s="4"/>
      <c r="AI68" s="10"/>
    </row>
    <row r="69" spans="1:35" x14ac:dyDescent="0.35">
      <c r="A69" s="28"/>
      <c r="B69" s="28"/>
      <c r="C69" s="28"/>
      <c r="D69" s="28"/>
      <c r="E69" s="28"/>
      <c r="F69" s="28"/>
      <c r="G69" s="28"/>
      <c r="H69" s="28"/>
      <c r="I69" s="28"/>
      <c r="J69" s="28"/>
      <c r="K69" s="28"/>
      <c r="L69" s="28"/>
      <c r="M69" s="28"/>
      <c r="N69" s="28"/>
      <c r="O69" s="28"/>
      <c r="P69" s="28"/>
      <c r="Q69" s="28"/>
      <c r="R69" s="28"/>
      <c r="S69" s="28"/>
      <c r="T69" s="28"/>
      <c r="U69" s="28"/>
      <c r="V69" s="28"/>
      <c r="W69" s="28"/>
      <c r="X69" s="28"/>
      <c r="Y69" s="29"/>
      <c r="Z69" s="29"/>
      <c r="AA69" s="29"/>
      <c r="AB69" s="29"/>
      <c r="AC69" s="29"/>
      <c r="AD69" s="29"/>
      <c r="AE69" s="2"/>
      <c r="AF69" s="2"/>
      <c r="AG69" s="2"/>
      <c r="AH69" s="2"/>
      <c r="AI69" s="9"/>
    </row>
    <row r="70" spans="1:35" x14ac:dyDescent="0.35">
      <c r="A70" s="30"/>
      <c r="B70" s="30"/>
      <c r="C70" s="30"/>
      <c r="D70" s="30"/>
      <c r="E70" s="30"/>
      <c r="F70" s="30"/>
      <c r="G70" s="30"/>
      <c r="H70" s="30"/>
      <c r="I70" s="30"/>
      <c r="J70" s="30"/>
      <c r="K70" s="30"/>
      <c r="L70" s="30"/>
      <c r="M70" s="30"/>
      <c r="N70" s="30"/>
      <c r="O70" s="30"/>
      <c r="P70" s="30"/>
      <c r="Q70" s="30"/>
      <c r="R70" s="30"/>
      <c r="S70" s="30"/>
      <c r="T70" s="30"/>
      <c r="U70" s="30"/>
      <c r="V70" s="30"/>
      <c r="W70" s="30"/>
      <c r="X70" s="30"/>
      <c r="Y70" s="31"/>
      <c r="Z70" s="31"/>
      <c r="AA70" s="31"/>
      <c r="AB70" s="31"/>
      <c r="AC70" s="31"/>
      <c r="AD70" s="31"/>
      <c r="AE70" s="4"/>
      <c r="AF70" s="4"/>
      <c r="AG70" s="4"/>
      <c r="AH70" s="4"/>
      <c r="AI70" s="10"/>
    </row>
    <row r="71" spans="1:35" x14ac:dyDescent="0.35">
      <c r="A71" s="28"/>
      <c r="B71" s="28"/>
      <c r="C71" s="28"/>
      <c r="D71" s="28"/>
      <c r="E71" s="28"/>
      <c r="F71" s="28"/>
      <c r="G71" s="28"/>
      <c r="H71" s="28"/>
      <c r="I71" s="28"/>
      <c r="J71" s="28"/>
      <c r="K71" s="28"/>
      <c r="L71" s="28"/>
      <c r="M71" s="28"/>
      <c r="N71" s="28"/>
      <c r="O71" s="28"/>
      <c r="P71" s="28"/>
      <c r="Q71" s="28"/>
      <c r="R71" s="28"/>
      <c r="S71" s="28"/>
      <c r="T71" s="28"/>
      <c r="U71" s="28"/>
      <c r="V71" s="28"/>
      <c r="W71" s="28"/>
      <c r="X71" s="28"/>
      <c r="Y71" s="29"/>
      <c r="Z71" s="29"/>
      <c r="AA71" s="29"/>
      <c r="AB71" s="29"/>
      <c r="AC71" s="29"/>
      <c r="AD71" s="29"/>
      <c r="AE71" s="2"/>
      <c r="AF71" s="2"/>
      <c r="AG71" s="2"/>
      <c r="AH71" s="2"/>
      <c r="AI71" s="9"/>
    </row>
    <row r="72" spans="1:35" x14ac:dyDescent="0.35">
      <c r="A72" s="30"/>
      <c r="B72" s="30"/>
      <c r="C72" s="30"/>
      <c r="D72" s="30"/>
      <c r="E72" s="30"/>
      <c r="F72" s="30"/>
      <c r="G72" s="30"/>
      <c r="H72" s="30"/>
      <c r="I72" s="30"/>
      <c r="J72" s="30"/>
      <c r="K72" s="30"/>
      <c r="L72" s="30"/>
      <c r="M72" s="30"/>
      <c r="N72" s="30"/>
      <c r="O72" s="30"/>
      <c r="P72" s="30"/>
      <c r="Q72" s="30"/>
      <c r="R72" s="30"/>
      <c r="S72" s="30"/>
      <c r="T72" s="30"/>
      <c r="U72" s="30"/>
      <c r="V72" s="30"/>
      <c r="W72" s="30"/>
      <c r="X72" s="30"/>
      <c r="Y72" s="31"/>
      <c r="Z72" s="31"/>
      <c r="AA72" s="31"/>
      <c r="AB72" s="31"/>
      <c r="AC72" s="31"/>
      <c r="AD72" s="31"/>
      <c r="AE72" s="4"/>
      <c r="AF72" s="4"/>
      <c r="AG72" s="4"/>
      <c r="AH72" s="4"/>
      <c r="AI72" s="10"/>
    </row>
    <row r="73" spans="1:35" x14ac:dyDescent="0.35">
      <c r="A73" s="28"/>
      <c r="B73" s="28"/>
      <c r="C73" s="28"/>
      <c r="D73" s="28"/>
      <c r="E73" s="28"/>
      <c r="F73" s="28"/>
      <c r="G73" s="28"/>
      <c r="H73" s="28"/>
      <c r="I73" s="28"/>
      <c r="J73" s="28"/>
      <c r="K73" s="28"/>
      <c r="L73" s="28"/>
      <c r="M73" s="28"/>
      <c r="N73" s="28"/>
      <c r="O73" s="28"/>
      <c r="P73" s="28"/>
      <c r="Q73" s="28"/>
      <c r="R73" s="28"/>
      <c r="S73" s="28"/>
      <c r="T73" s="28"/>
      <c r="U73" s="28"/>
      <c r="V73" s="28"/>
      <c r="W73" s="28"/>
      <c r="X73" s="28"/>
      <c r="Y73" s="29"/>
      <c r="Z73" s="29"/>
      <c r="AA73" s="29"/>
      <c r="AB73" s="29"/>
      <c r="AC73" s="29"/>
      <c r="AD73" s="29"/>
      <c r="AE73" s="2"/>
      <c r="AF73" s="2"/>
      <c r="AG73" s="2"/>
      <c r="AH73" s="2"/>
      <c r="AI73" s="9"/>
    </row>
    <row r="74" spans="1:35" x14ac:dyDescent="0.35">
      <c r="A74" s="30"/>
      <c r="B74" s="30"/>
      <c r="C74" s="30"/>
      <c r="D74" s="30"/>
      <c r="E74" s="30"/>
      <c r="F74" s="30"/>
      <c r="G74" s="30"/>
      <c r="H74" s="30"/>
      <c r="I74" s="30"/>
      <c r="J74" s="30"/>
      <c r="K74" s="30"/>
      <c r="L74" s="30"/>
      <c r="M74" s="30"/>
      <c r="N74" s="30"/>
      <c r="O74" s="30"/>
      <c r="P74" s="30"/>
      <c r="Q74" s="30"/>
      <c r="R74" s="30"/>
      <c r="S74" s="30"/>
      <c r="T74" s="30"/>
      <c r="U74" s="30"/>
      <c r="V74" s="30"/>
      <c r="W74" s="30"/>
      <c r="X74" s="30"/>
      <c r="Y74" s="31"/>
      <c r="Z74" s="31"/>
      <c r="AA74" s="31"/>
      <c r="AB74" s="31"/>
      <c r="AC74" s="31"/>
      <c r="AD74" s="31"/>
      <c r="AE74" s="4"/>
      <c r="AF74" s="4"/>
      <c r="AG74" s="4"/>
      <c r="AH74" s="4"/>
      <c r="AI74" s="10"/>
    </row>
    <row r="75" spans="1:35" x14ac:dyDescent="0.35">
      <c r="A75" s="28"/>
      <c r="B75" s="28"/>
      <c r="C75" s="28"/>
      <c r="D75" s="28"/>
      <c r="E75" s="28"/>
      <c r="F75" s="28"/>
      <c r="G75" s="28"/>
      <c r="H75" s="28"/>
      <c r="I75" s="28"/>
      <c r="J75" s="28"/>
      <c r="K75" s="28"/>
      <c r="L75" s="28"/>
      <c r="M75" s="28"/>
      <c r="N75" s="28"/>
      <c r="O75" s="28"/>
      <c r="P75" s="28"/>
      <c r="Q75" s="28"/>
      <c r="R75" s="28"/>
      <c r="S75" s="28"/>
      <c r="T75" s="28"/>
      <c r="U75" s="28"/>
      <c r="V75" s="28"/>
      <c r="W75" s="28"/>
      <c r="X75" s="28"/>
      <c r="Y75" s="29"/>
      <c r="Z75" s="29"/>
      <c r="AA75" s="29"/>
      <c r="AB75" s="29"/>
      <c r="AC75" s="29"/>
      <c r="AD75" s="29"/>
      <c r="AE75" s="2"/>
      <c r="AF75" s="2"/>
      <c r="AG75" s="2"/>
      <c r="AH75" s="2"/>
      <c r="AI75" s="9"/>
    </row>
    <row r="76" spans="1:35" x14ac:dyDescent="0.35">
      <c r="A76" s="30"/>
      <c r="B76" s="30"/>
      <c r="C76" s="30"/>
      <c r="D76" s="30"/>
      <c r="E76" s="30"/>
      <c r="F76" s="30"/>
      <c r="G76" s="30"/>
      <c r="H76" s="30"/>
      <c r="I76" s="30"/>
      <c r="J76" s="30"/>
      <c r="K76" s="30"/>
      <c r="L76" s="30"/>
      <c r="M76" s="30"/>
      <c r="N76" s="30"/>
      <c r="O76" s="30"/>
      <c r="P76" s="30"/>
      <c r="Q76" s="30"/>
      <c r="R76" s="30"/>
      <c r="S76" s="30"/>
      <c r="T76" s="30"/>
      <c r="U76" s="30"/>
      <c r="V76" s="30"/>
      <c r="W76" s="30"/>
      <c r="X76" s="30"/>
      <c r="Y76" s="31"/>
      <c r="Z76" s="31"/>
      <c r="AA76" s="31"/>
      <c r="AB76" s="31"/>
      <c r="AC76" s="31"/>
      <c r="AD76" s="31"/>
      <c r="AE76" s="4"/>
      <c r="AF76" s="4"/>
      <c r="AG76" s="4"/>
      <c r="AH76" s="4"/>
      <c r="AI76" s="10"/>
    </row>
    <row r="77" spans="1:35" x14ac:dyDescent="0.35">
      <c r="A77" s="28"/>
      <c r="B77" s="28"/>
      <c r="C77" s="28"/>
      <c r="D77" s="28"/>
      <c r="E77" s="28"/>
      <c r="F77" s="28"/>
      <c r="G77" s="28"/>
      <c r="H77" s="28"/>
      <c r="I77" s="28"/>
      <c r="J77" s="28"/>
      <c r="K77" s="28"/>
      <c r="L77" s="28"/>
      <c r="M77" s="28"/>
      <c r="N77" s="28"/>
      <c r="O77" s="28"/>
      <c r="P77" s="28"/>
      <c r="Q77" s="28"/>
      <c r="R77" s="28"/>
      <c r="S77" s="28"/>
      <c r="T77" s="28"/>
      <c r="U77" s="28"/>
      <c r="V77" s="28"/>
      <c r="W77" s="28"/>
      <c r="X77" s="28"/>
      <c r="Y77" s="29"/>
      <c r="Z77" s="29"/>
      <c r="AA77" s="29"/>
      <c r="AB77" s="29"/>
      <c r="AC77" s="29"/>
      <c r="AD77" s="29"/>
      <c r="AE77" s="2"/>
      <c r="AF77" s="2"/>
      <c r="AG77" s="2"/>
      <c r="AH77" s="2"/>
      <c r="AI77" s="9"/>
    </row>
    <row r="78" spans="1:35" x14ac:dyDescent="0.35">
      <c r="A78" s="30"/>
      <c r="B78" s="30"/>
      <c r="C78" s="30"/>
      <c r="D78" s="30"/>
      <c r="E78" s="30"/>
      <c r="F78" s="30"/>
      <c r="G78" s="30"/>
      <c r="H78" s="30"/>
      <c r="I78" s="30"/>
      <c r="J78" s="30"/>
      <c r="K78" s="30"/>
      <c r="L78" s="30"/>
      <c r="M78" s="30"/>
      <c r="N78" s="30"/>
      <c r="O78" s="30"/>
      <c r="P78" s="30"/>
      <c r="Q78" s="30"/>
      <c r="R78" s="30"/>
      <c r="S78" s="30"/>
      <c r="T78" s="30"/>
      <c r="U78" s="30"/>
      <c r="V78" s="30"/>
      <c r="W78" s="30"/>
      <c r="X78" s="30"/>
      <c r="Y78" s="31"/>
      <c r="Z78" s="31"/>
      <c r="AA78" s="31"/>
      <c r="AB78" s="31"/>
      <c r="AC78" s="31"/>
      <c r="AD78" s="31"/>
      <c r="AE78" s="4"/>
      <c r="AF78" s="4"/>
      <c r="AG78" s="4"/>
      <c r="AH78" s="4"/>
      <c r="AI78" s="10"/>
    </row>
    <row r="79" spans="1:35" x14ac:dyDescent="0.35">
      <c r="A79" s="28"/>
      <c r="B79" s="28"/>
      <c r="C79" s="28"/>
      <c r="D79" s="28"/>
      <c r="E79" s="28"/>
      <c r="F79" s="28"/>
      <c r="G79" s="28"/>
      <c r="H79" s="28"/>
      <c r="I79" s="28"/>
      <c r="J79" s="28"/>
      <c r="K79" s="28"/>
      <c r="L79" s="28"/>
      <c r="M79" s="28"/>
      <c r="N79" s="28"/>
      <c r="O79" s="28"/>
      <c r="P79" s="28"/>
      <c r="Q79" s="28"/>
      <c r="R79" s="28"/>
      <c r="S79" s="28"/>
      <c r="T79" s="28"/>
      <c r="U79" s="28"/>
      <c r="V79" s="28"/>
      <c r="W79" s="28"/>
      <c r="X79" s="28"/>
      <c r="Y79" s="29"/>
      <c r="Z79" s="29"/>
      <c r="AA79" s="29"/>
      <c r="AB79" s="29"/>
      <c r="AC79" s="29"/>
      <c r="AD79" s="29"/>
      <c r="AE79" s="2"/>
      <c r="AF79" s="2"/>
      <c r="AG79" s="2"/>
      <c r="AH79" s="2"/>
      <c r="AI79" s="9"/>
    </row>
    <row r="80" spans="1:35" x14ac:dyDescent="0.35">
      <c r="A80" s="30"/>
      <c r="B80" s="30"/>
      <c r="C80" s="30"/>
      <c r="D80" s="30"/>
      <c r="E80" s="30"/>
      <c r="F80" s="30"/>
      <c r="G80" s="30"/>
      <c r="H80" s="30"/>
      <c r="I80" s="30"/>
      <c r="J80" s="30"/>
      <c r="K80" s="30"/>
      <c r="L80" s="30"/>
      <c r="M80" s="30"/>
      <c r="N80" s="30"/>
      <c r="O80" s="30"/>
      <c r="P80" s="30"/>
      <c r="Q80" s="30"/>
      <c r="R80" s="30"/>
      <c r="S80" s="30"/>
      <c r="T80" s="30"/>
      <c r="U80" s="30"/>
      <c r="V80" s="30"/>
      <c r="W80" s="30"/>
      <c r="X80" s="30"/>
      <c r="Y80" s="31"/>
      <c r="Z80" s="31"/>
      <c r="AA80" s="31"/>
      <c r="AB80" s="31"/>
      <c r="AC80" s="31"/>
      <c r="AD80" s="31"/>
      <c r="AE80" s="4"/>
      <c r="AF80" s="4"/>
      <c r="AG80" s="4"/>
      <c r="AH80" s="4"/>
      <c r="AI80" s="10"/>
    </row>
    <row r="81" spans="1:35" x14ac:dyDescent="0.35">
      <c r="A81" s="28"/>
      <c r="B81" s="28"/>
      <c r="C81" s="28"/>
      <c r="D81" s="28"/>
      <c r="E81" s="28"/>
      <c r="F81" s="28"/>
      <c r="G81" s="28"/>
      <c r="H81" s="28"/>
      <c r="I81" s="28"/>
      <c r="J81" s="28"/>
      <c r="K81" s="28"/>
      <c r="L81" s="28"/>
      <c r="M81" s="28"/>
      <c r="N81" s="28"/>
      <c r="O81" s="28"/>
      <c r="P81" s="28"/>
      <c r="Q81" s="28"/>
      <c r="R81" s="28"/>
      <c r="S81" s="28"/>
      <c r="T81" s="28"/>
      <c r="U81" s="28"/>
      <c r="V81" s="28"/>
      <c r="W81" s="28"/>
      <c r="X81" s="28"/>
      <c r="Y81" s="29"/>
      <c r="Z81" s="29"/>
      <c r="AA81" s="29"/>
      <c r="AB81" s="29"/>
      <c r="AC81" s="29"/>
      <c r="AD81" s="29"/>
      <c r="AE81" s="2"/>
      <c r="AF81" s="2"/>
      <c r="AG81" s="2"/>
      <c r="AH81" s="2"/>
      <c r="AI81" s="9"/>
    </row>
    <row r="82" spans="1:35" x14ac:dyDescent="0.35">
      <c r="A82" s="30"/>
      <c r="B82" s="30"/>
      <c r="C82" s="30"/>
      <c r="D82" s="30"/>
      <c r="E82" s="30"/>
      <c r="F82" s="30"/>
      <c r="G82" s="30"/>
      <c r="H82" s="30"/>
      <c r="I82" s="30"/>
      <c r="J82" s="30"/>
      <c r="K82" s="30"/>
      <c r="L82" s="30"/>
      <c r="M82" s="30"/>
      <c r="N82" s="30"/>
      <c r="O82" s="30"/>
      <c r="P82" s="30"/>
      <c r="Q82" s="30"/>
      <c r="R82" s="30"/>
      <c r="S82" s="30"/>
      <c r="T82" s="30"/>
      <c r="U82" s="30"/>
      <c r="V82" s="30"/>
      <c r="W82" s="30"/>
      <c r="X82" s="30"/>
      <c r="Y82" s="31"/>
      <c r="Z82" s="31"/>
      <c r="AA82" s="31"/>
      <c r="AB82" s="31"/>
      <c r="AC82" s="31"/>
      <c r="AD82" s="31"/>
      <c r="AE82" s="4"/>
      <c r="AF82" s="4"/>
      <c r="AG82" s="4"/>
      <c r="AH82" s="4"/>
      <c r="AI82" s="10"/>
    </row>
    <row r="83" spans="1:35" x14ac:dyDescent="0.35">
      <c r="A83" s="28"/>
      <c r="B83" s="28"/>
      <c r="C83" s="28"/>
      <c r="D83" s="28"/>
      <c r="E83" s="28"/>
      <c r="F83" s="28"/>
      <c r="G83" s="28"/>
      <c r="H83" s="28"/>
      <c r="I83" s="28"/>
      <c r="J83" s="28"/>
      <c r="K83" s="28"/>
      <c r="L83" s="28"/>
      <c r="M83" s="28"/>
      <c r="N83" s="28"/>
      <c r="O83" s="28"/>
      <c r="P83" s="28"/>
      <c r="Q83" s="28"/>
      <c r="R83" s="28"/>
      <c r="S83" s="28"/>
      <c r="T83" s="28"/>
      <c r="U83" s="28"/>
      <c r="V83" s="28"/>
      <c r="W83" s="28"/>
      <c r="X83" s="28"/>
      <c r="Y83" s="29"/>
      <c r="Z83" s="29"/>
      <c r="AA83" s="29"/>
      <c r="AB83" s="29"/>
      <c r="AC83" s="29"/>
      <c r="AD83" s="29"/>
      <c r="AE83" s="2"/>
      <c r="AF83" s="2"/>
      <c r="AG83" s="2"/>
      <c r="AH83" s="2"/>
      <c r="AI83" s="9"/>
    </row>
    <row r="84" spans="1:35" x14ac:dyDescent="0.35">
      <c r="A84" s="30"/>
      <c r="B84" s="30"/>
      <c r="C84" s="30"/>
      <c r="D84" s="30"/>
      <c r="E84" s="30"/>
      <c r="F84" s="30"/>
      <c r="G84" s="30"/>
      <c r="H84" s="30"/>
      <c r="I84" s="30"/>
      <c r="J84" s="30"/>
      <c r="K84" s="30"/>
      <c r="L84" s="30"/>
      <c r="M84" s="30"/>
      <c r="N84" s="30"/>
      <c r="O84" s="30"/>
      <c r="P84" s="30"/>
      <c r="Q84" s="30"/>
      <c r="R84" s="30"/>
      <c r="S84" s="30"/>
      <c r="T84" s="30"/>
      <c r="U84" s="30"/>
      <c r="V84" s="30"/>
      <c r="W84" s="30"/>
      <c r="X84" s="30"/>
      <c r="Y84" s="31"/>
      <c r="Z84" s="31"/>
      <c r="AA84" s="31"/>
      <c r="AB84" s="31"/>
      <c r="AC84" s="31"/>
      <c r="AD84" s="31"/>
      <c r="AE84" s="4"/>
      <c r="AF84" s="4"/>
      <c r="AG84" s="4"/>
      <c r="AH84" s="4"/>
      <c r="AI84" s="10"/>
    </row>
    <row r="85" spans="1:35" x14ac:dyDescent="0.35">
      <c r="A85" s="28"/>
      <c r="B85" s="28"/>
      <c r="C85" s="28"/>
      <c r="D85" s="28"/>
      <c r="E85" s="28"/>
      <c r="F85" s="28"/>
      <c r="G85" s="28"/>
      <c r="H85" s="28"/>
      <c r="I85" s="28"/>
      <c r="J85" s="28"/>
      <c r="K85" s="28"/>
      <c r="L85" s="28"/>
      <c r="M85" s="28"/>
      <c r="N85" s="28"/>
      <c r="O85" s="28"/>
      <c r="P85" s="28"/>
      <c r="Q85" s="28"/>
      <c r="R85" s="28"/>
      <c r="S85" s="28"/>
      <c r="T85" s="28"/>
      <c r="U85" s="28"/>
      <c r="V85" s="28"/>
      <c r="W85" s="28"/>
      <c r="X85" s="28"/>
      <c r="Y85" s="29"/>
      <c r="Z85" s="29"/>
      <c r="AA85" s="29"/>
      <c r="AB85" s="29"/>
      <c r="AC85" s="29"/>
      <c r="AD85" s="29"/>
      <c r="AE85" s="2"/>
      <c r="AF85" s="2"/>
      <c r="AG85" s="2"/>
      <c r="AH85" s="2"/>
      <c r="AI85" s="9"/>
    </row>
    <row r="86" spans="1:35" x14ac:dyDescent="0.35">
      <c r="A86" s="30"/>
      <c r="B86" s="30"/>
      <c r="C86" s="30"/>
      <c r="D86" s="30"/>
      <c r="E86" s="30"/>
      <c r="F86" s="30"/>
      <c r="G86" s="30"/>
      <c r="H86" s="30"/>
      <c r="I86" s="30"/>
      <c r="J86" s="30"/>
      <c r="K86" s="30"/>
      <c r="L86" s="30"/>
      <c r="M86" s="30"/>
      <c r="N86" s="30"/>
      <c r="O86" s="30"/>
      <c r="P86" s="30"/>
      <c r="Q86" s="30"/>
      <c r="R86" s="30"/>
      <c r="S86" s="30"/>
      <c r="T86" s="30"/>
      <c r="U86" s="30"/>
      <c r="V86" s="30"/>
      <c r="W86" s="30"/>
      <c r="X86" s="30"/>
      <c r="Y86" s="31"/>
      <c r="Z86" s="31"/>
      <c r="AA86" s="31"/>
      <c r="AB86" s="31"/>
      <c r="AC86" s="31"/>
      <c r="AD86" s="31"/>
      <c r="AE86" s="4"/>
      <c r="AF86" s="4"/>
      <c r="AG86" s="4"/>
      <c r="AH86" s="4"/>
      <c r="AI86" s="10"/>
    </row>
    <row r="87" spans="1:35" x14ac:dyDescent="0.35">
      <c r="A87" s="28"/>
      <c r="B87" s="28"/>
      <c r="C87" s="28"/>
      <c r="D87" s="28"/>
      <c r="E87" s="28"/>
      <c r="F87" s="28"/>
      <c r="G87" s="28"/>
      <c r="H87" s="28"/>
      <c r="I87" s="28"/>
      <c r="J87" s="28"/>
      <c r="K87" s="28"/>
      <c r="L87" s="28"/>
      <c r="M87" s="28"/>
      <c r="N87" s="28"/>
      <c r="O87" s="28"/>
      <c r="P87" s="28"/>
      <c r="Q87" s="28"/>
      <c r="R87" s="28"/>
      <c r="S87" s="28"/>
      <c r="T87" s="28"/>
      <c r="U87" s="28"/>
      <c r="V87" s="28"/>
      <c r="W87" s="28"/>
      <c r="X87" s="28"/>
      <c r="Y87" s="29"/>
      <c r="Z87" s="29"/>
      <c r="AA87" s="29"/>
      <c r="AB87" s="29"/>
      <c r="AC87" s="29"/>
      <c r="AD87" s="29"/>
      <c r="AE87" s="2"/>
      <c r="AF87" s="2"/>
      <c r="AG87" s="2"/>
      <c r="AH87" s="2"/>
      <c r="AI87" s="9"/>
    </row>
    <row r="88" spans="1:35" x14ac:dyDescent="0.35">
      <c r="A88" s="30"/>
      <c r="B88" s="30"/>
      <c r="C88" s="30"/>
      <c r="D88" s="30"/>
      <c r="E88" s="30"/>
      <c r="F88" s="30"/>
      <c r="G88" s="30"/>
      <c r="H88" s="30"/>
      <c r="I88" s="30"/>
      <c r="J88" s="30"/>
      <c r="K88" s="30"/>
      <c r="L88" s="30"/>
      <c r="M88" s="30"/>
      <c r="N88" s="30"/>
      <c r="O88" s="30"/>
      <c r="P88" s="30"/>
      <c r="Q88" s="30"/>
      <c r="R88" s="30"/>
      <c r="S88" s="30"/>
      <c r="T88" s="30"/>
      <c r="U88" s="30"/>
      <c r="V88" s="30"/>
      <c r="W88" s="30"/>
      <c r="X88" s="30"/>
      <c r="Y88" s="31"/>
      <c r="Z88" s="31"/>
      <c r="AA88" s="31"/>
      <c r="AB88" s="31"/>
      <c r="AC88" s="31"/>
      <c r="AD88" s="31"/>
      <c r="AE88" s="4"/>
      <c r="AF88" s="4"/>
      <c r="AG88" s="4"/>
      <c r="AH88" s="4"/>
      <c r="AI88" s="10"/>
    </row>
    <row r="89" spans="1:35" x14ac:dyDescent="0.35">
      <c r="A89" s="28"/>
      <c r="B89" s="28"/>
      <c r="C89" s="28"/>
      <c r="D89" s="28"/>
      <c r="E89" s="28"/>
      <c r="F89" s="28"/>
      <c r="G89" s="28"/>
      <c r="H89" s="28"/>
      <c r="I89" s="28"/>
      <c r="J89" s="28"/>
      <c r="K89" s="28"/>
      <c r="L89" s="28"/>
      <c r="M89" s="28"/>
      <c r="N89" s="28"/>
      <c r="O89" s="28"/>
      <c r="P89" s="28"/>
      <c r="Q89" s="28"/>
      <c r="R89" s="28"/>
      <c r="S89" s="28"/>
      <c r="T89" s="28"/>
      <c r="U89" s="28"/>
      <c r="V89" s="28"/>
      <c r="W89" s="28"/>
      <c r="X89" s="28"/>
      <c r="Y89" s="29"/>
      <c r="Z89" s="29"/>
      <c r="AA89" s="29"/>
      <c r="AB89" s="29"/>
      <c r="AC89" s="29"/>
      <c r="AD89" s="29"/>
      <c r="AE89" s="2"/>
      <c r="AF89" s="2"/>
      <c r="AG89" s="2"/>
      <c r="AH89" s="2"/>
      <c r="AI89" s="9"/>
    </row>
    <row r="90" spans="1:35" x14ac:dyDescent="0.35">
      <c r="A90" s="30"/>
      <c r="B90" s="30"/>
      <c r="C90" s="30"/>
      <c r="D90" s="30"/>
      <c r="E90" s="30"/>
      <c r="F90" s="30"/>
      <c r="G90" s="30"/>
      <c r="H90" s="30"/>
      <c r="I90" s="30"/>
      <c r="J90" s="30"/>
      <c r="K90" s="30"/>
      <c r="L90" s="30"/>
      <c r="M90" s="30"/>
      <c r="N90" s="30"/>
      <c r="O90" s="30"/>
      <c r="P90" s="30"/>
      <c r="Q90" s="30"/>
      <c r="R90" s="30"/>
      <c r="S90" s="30"/>
      <c r="T90" s="30"/>
      <c r="U90" s="30"/>
      <c r="V90" s="30"/>
      <c r="W90" s="30"/>
      <c r="X90" s="30"/>
      <c r="Y90" s="31"/>
      <c r="Z90" s="31"/>
      <c r="AA90" s="31"/>
      <c r="AB90" s="31"/>
      <c r="AC90" s="31"/>
      <c r="AD90" s="31"/>
      <c r="AE90" s="4"/>
      <c r="AF90" s="4"/>
      <c r="AG90" s="4"/>
      <c r="AH90" s="4"/>
      <c r="AI90" s="10"/>
    </row>
    <row r="91" spans="1:35" x14ac:dyDescent="0.35">
      <c r="A91" s="28"/>
      <c r="B91" s="28"/>
      <c r="C91" s="28"/>
      <c r="D91" s="28"/>
      <c r="E91" s="28"/>
      <c r="F91" s="28"/>
      <c r="G91" s="28"/>
      <c r="H91" s="28"/>
      <c r="I91" s="28"/>
      <c r="J91" s="28"/>
      <c r="K91" s="28"/>
      <c r="L91" s="28"/>
      <c r="M91" s="28"/>
      <c r="N91" s="28"/>
      <c r="O91" s="28"/>
      <c r="P91" s="28"/>
      <c r="Q91" s="28"/>
      <c r="R91" s="28"/>
      <c r="S91" s="28"/>
      <c r="T91" s="28"/>
      <c r="U91" s="28"/>
      <c r="V91" s="28"/>
      <c r="W91" s="28"/>
      <c r="X91" s="28"/>
      <c r="Y91" s="29"/>
      <c r="Z91" s="29"/>
      <c r="AA91" s="29"/>
      <c r="AB91" s="29"/>
      <c r="AC91" s="29"/>
      <c r="AD91" s="29"/>
      <c r="AE91" s="2"/>
      <c r="AF91" s="2"/>
      <c r="AG91" s="2"/>
      <c r="AH91" s="2"/>
      <c r="AI91" s="9"/>
    </row>
    <row r="92" spans="1:35" x14ac:dyDescent="0.35">
      <c r="A92" s="30"/>
      <c r="B92" s="30"/>
      <c r="C92" s="30"/>
      <c r="D92" s="30"/>
      <c r="E92" s="30"/>
      <c r="F92" s="30"/>
      <c r="G92" s="30"/>
      <c r="H92" s="30"/>
      <c r="I92" s="30"/>
      <c r="J92" s="30"/>
      <c r="K92" s="30"/>
      <c r="L92" s="30"/>
      <c r="M92" s="30"/>
      <c r="N92" s="30"/>
      <c r="O92" s="30"/>
      <c r="P92" s="30"/>
      <c r="Q92" s="30"/>
      <c r="R92" s="30"/>
      <c r="S92" s="30"/>
      <c r="T92" s="30"/>
      <c r="U92" s="30"/>
      <c r="V92" s="30"/>
      <c r="W92" s="30"/>
      <c r="X92" s="30"/>
      <c r="Y92" s="31"/>
      <c r="Z92" s="31"/>
      <c r="AA92" s="31"/>
      <c r="AB92" s="31"/>
      <c r="AC92" s="31"/>
      <c r="AD92" s="31"/>
      <c r="AE92" s="4"/>
      <c r="AF92" s="4"/>
      <c r="AG92" s="4"/>
      <c r="AH92" s="4"/>
      <c r="AI92" s="10"/>
    </row>
    <row r="93" spans="1:35" x14ac:dyDescent="0.35">
      <c r="A93" s="28"/>
      <c r="B93" s="28"/>
      <c r="C93" s="28"/>
      <c r="D93" s="28"/>
      <c r="E93" s="28"/>
      <c r="F93" s="28"/>
      <c r="G93" s="28"/>
      <c r="H93" s="28"/>
      <c r="I93" s="28"/>
      <c r="J93" s="28"/>
      <c r="K93" s="28"/>
      <c r="L93" s="28"/>
      <c r="M93" s="28"/>
      <c r="N93" s="28"/>
      <c r="O93" s="28"/>
      <c r="P93" s="28"/>
      <c r="Q93" s="28"/>
      <c r="R93" s="28"/>
      <c r="S93" s="28"/>
      <c r="T93" s="28"/>
      <c r="U93" s="28"/>
      <c r="V93" s="28"/>
      <c r="W93" s="28"/>
      <c r="X93" s="28"/>
      <c r="Y93" s="29"/>
      <c r="Z93" s="29"/>
      <c r="AA93" s="29"/>
      <c r="AB93" s="29"/>
      <c r="AC93" s="29"/>
      <c r="AD93" s="29"/>
      <c r="AE93" s="2"/>
      <c r="AF93" s="2"/>
      <c r="AG93" s="2"/>
      <c r="AH93" s="2"/>
      <c r="AI93" s="9"/>
    </row>
    <row r="94" spans="1:35" x14ac:dyDescent="0.35">
      <c r="A94" s="30"/>
      <c r="B94" s="30"/>
      <c r="C94" s="30"/>
      <c r="D94" s="30"/>
      <c r="E94" s="30"/>
      <c r="F94" s="30"/>
      <c r="G94" s="30"/>
      <c r="H94" s="30"/>
      <c r="I94" s="30"/>
      <c r="J94" s="30"/>
      <c r="K94" s="30"/>
      <c r="L94" s="30"/>
      <c r="M94" s="30"/>
      <c r="N94" s="30"/>
      <c r="O94" s="30"/>
      <c r="P94" s="30"/>
      <c r="Q94" s="30"/>
      <c r="R94" s="30"/>
      <c r="S94" s="30"/>
      <c r="T94" s="30"/>
      <c r="U94" s="30"/>
      <c r="V94" s="30"/>
      <c r="W94" s="30"/>
      <c r="X94" s="30"/>
      <c r="Y94" s="31"/>
      <c r="Z94" s="31"/>
      <c r="AA94" s="31"/>
      <c r="AB94" s="31"/>
      <c r="AC94" s="31"/>
      <c r="AD94" s="31"/>
      <c r="AE94" s="4"/>
      <c r="AF94" s="4"/>
      <c r="AG94" s="4"/>
      <c r="AH94" s="4"/>
      <c r="AI94" s="10"/>
    </row>
    <row r="95" spans="1:35" x14ac:dyDescent="0.35">
      <c r="A95" s="28"/>
      <c r="B95" s="28"/>
      <c r="C95" s="28"/>
      <c r="D95" s="28"/>
      <c r="E95" s="28"/>
      <c r="F95" s="28"/>
      <c r="G95" s="28"/>
      <c r="H95" s="28"/>
      <c r="I95" s="28"/>
      <c r="J95" s="28"/>
      <c r="K95" s="28"/>
      <c r="L95" s="28"/>
      <c r="M95" s="28"/>
      <c r="N95" s="28"/>
      <c r="O95" s="28"/>
      <c r="P95" s="28"/>
      <c r="Q95" s="28"/>
      <c r="R95" s="28"/>
      <c r="S95" s="28"/>
      <c r="T95" s="28"/>
      <c r="U95" s="28"/>
      <c r="V95" s="28"/>
      <c r="W95" s="28"/>
      <c r="X95" s="28"/>
      <c r="Y95" s="29"/>
      <c r="Z95" s="29"/>
      <c r="AA95" s="29"/>
      <c r="AB95" s="29"/>
      <c r="AC95" s="29"/>
      <c r="AD95" s="29"/>
      <c r="AE95" s="2"/>
      <c r="AF95" s="2"/>
      <c r="AG95" s="2"/>
      <c r="AH95" s="2"/>
      <c r="AI95" s="9"/>
    </row>
    <row r="96" spans="1:35" x14ac:dyDescent="0.35">
      <c r="A96" s="30"/>
      <c r="B96" s="30"/>
      <c r="C96" s="30"/>
      <c r="D96" s="30"/>
      <c r="E96" s="30"/>
      <c r="F96" s="30"/>
      <c r="G96" s="30"/>
      <c r="H96" s="30"/>
      <c r="I96" s="30"/>
      <c r="J96" s="30"/>
      <c r="K96" s="30"/>
      <c r="L96" s="30"/>
      <c r="M96" s="30"/>
      <c r="N96" s="30"/>
      <c r="O96" s="30"/>
      <c r="P96" s="30"/>
      <c r="Q96" s="30"/>
      <c r="R96" s="30"/>
      <c r="S96" s="30"/>
      <c r="T96" s="30"/>
      <c r="U96" s="30"/>
      <c r="V96" s="30"/>
      <c r="W96" s="30"/>
      <c r="X96" s="30"/>
      <c r="Y96" s="31"/>
      <c r="Z96" s="31"/>
      <c r="AA96" s="31"/>
      <c r="AB96" s="31"/>
      <c r="AC96" s="31"/>
      <c r="AD96" s="31"/>
      <c r="AE96" s="4"/>
      <c r="AF96" s="4"/>
      <c r="AG96" s="4"/>
      <c r="AH96" s="4"/>
      <c r="AI96" s="10"/>
    </row>
    <row r="97" spans="1:35" x14ac:dyDescent="0.35">
      <c r="A97" s="28"/>
      <c r="B97" s="28"/>
      <c r="C97" s="28"/>
      <c r="D97" s="28"/>
      <c r="E97" s="28"/>
      <c r="F97" s="28"/>
      <c r="G97" s="28"/>
      <c r="H97" s="28"/>
      <c r="I97" s="28"/>
      <c r="J97" s="28"/>
      <c r="K97" s="28"/>
      <c r="L97" s="28"/>
      <c r="M97" s="28"/>
      <c r="N97" s="28"/>
      <c r="O97" s="28"/>
      <c r="P97" s="28"/>
      <c r="Q97" s="28"/>
      <c r="R97" s="28"/>
      <c r="S97" s="28"/>
      <c r="T97" s="28"/>
      <c r="U97" s="28"/>
      <c r="V97" s="28"/>
      <c r="W97" s="28"/>
      <c r="X97" s="28"/>
      <c r="Y97" s="29"/>
      <c r="Z97" s="29"/>
      <c r="AA97" s="29"/>
      <c r="AB97" s="29"/>
      <c r="AC97" s="29"/>
      <c r="AD97" s="29"/>
      <c r="AE97" s="2"/>
      <c r="AF97" s="2"/>
      <c r="AG97" s="2"/>
      <c r="AH97" s="2"/>
      <c r="AI97" s="9"/>
    </row>
    <row r="98" spans="1:35" x14ac:dyDescent="0.35">
      <c r="A98" s="30"/>
      <c r="B98" s="30"/>
      <c r="C98" s="30"/>
      <c r="D98" s="30"/>
      <c r="E98" s="30"/>
      <c r="F98" s="30"/>
      <c r="G98" s="30"/>
      <c r="H98" s="30"/>
      <c r="I98" s="30"/>
      <c r="J98" s="30"/>
      <c r="K98" s="30"/>
      <c r="L98" s="30"/>
      <c r="M98" s="30"/>
      <c r="N98" s="30"/>
      <c r="O98" s="30"/>
      <c r="P98" s="30"/>
      <c r="Q98" s="30"/>
      <c r="R98" s="30"/>
      <c r="S98" s="30"/>
      <c r="T98" s="30"/>
      <c r="U98" s="30"/>
      <c r="V98" s="30"/>
      <c r="W98" s="30"/>
      <c r="X98" s="30"/>
      <c r="Y98" s="31"/>
      <c r="Z98" s="31"/>
      <c r="AA98" s="31"/>
      <c r="AB98" s="31"/>
      <c r="AC98" s="31"/>
      <c r="AD98" s="31"/>
      <c r="AE98" s="4"/>
      <c r="AF98" s="4"/>
      <c r="AG98" s="4"/>
      <c r="AH98" s="4"/>
      <c r="AI98" s="10"/>
    </row>
    <row r="99" spans="1:35" x14ac:dyDescent="0.35">
      <c r="A99" s="28"/>
      <c r="B99" s="28"/>
      <c r="C99" s="28"/>
      <c r="D99" s="28"/>
      <c r="E99" s="28"/>
      <c r="F99" s="28"/>
      <c r="G99" s="28"/>
      <c r="H99" s="28"/>
      <c r="I99" s="28"/>
      <c r="J99" s="28"/>
      <c r="K99" s="28"/>
      <c r="L99" s="28"/>
      <c r="M99" s="28"/>
      <c r="N99" s="28"/>
      <c r="O99" s="28"/>
      <c r="P99" s="28"/>
      <c r="Q99" s="28"/>
      <c r="R99" s="28"/>
      <c r="S99" s="28"/>
      <c r="T99" s="28"/>
      <c r="U99" s="28"/>
      <c r="V99" s="28"/>
      <c r="W99" s="28"/>
      <c r="X99" s="28"/>
      <c r="Y99" s="29"/>
      <c r="Z99" s="29"/>
      <c r="AA99" s="29"/>
      <c r="AB99" s="29"/>
      <c r="AC99" s="29"/>
      <c r="AD99" s="29"/>
      <c r="AE99" s="2"/>
      <c r="AF99" s="2"/>
      <c r="AG99" s="2"/>
      <c r="AH99" s="2"/>
      <c r="AI99" s="9"/>
    </row>
    <row r="100" spans="1:35" x14ac:dyDescent="0.35">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1"/>
      <c r="Z100" s="31"/>
      <c r="AA100" s="31"/>
      <c r="AB100" s="31"/>
      <c r="AC100" s="31"/>
      <c r="AD100" s="31"/>
      <c r="AE100" s="4"/>
      <c r="AF100" s="4"/>
      <c r="AG100" s="4"/>
      <c r="AH100" s="4"/>
      <c r="AI100" s="10"/>
    </row>
    <row r="101" spans="1:35" x14ac:dyDescent="0.3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9"/>
      <c r="Z101" s="29"/>
      <c r="AA101" s="29"/>
      <c r="AB101" s="29"/>
      <c r="AC101" s="29"/>
      <c r="AD101" s="29"/>
      <c r="AE101" s="2"/>
      <c r="AF101" s="2"/>
      <c r="AG101" s="2"/>
      <c r="AH101" s="2"/>
      <c r="AI101" s="9"/>
    </row>
    <row r="102" spans="1:35" x14ac:dyDescent="0.35">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1"/>
      <c r="Z102" s="31"/>
      <c r="AA102" s="31"/>
      <c r="AB102" s="31"/>
      <c r="AC102" s="31"/>
      <c r="AD102" s="31"/>
      <c r="AE102" s="4"/>
      <c r="AF102" s="4"/>
      <c r="AG102" s="4"/>
      <c r="AH102" s="4"/>
      <c r="AI102" s="10"/>
    </row>
    <row r="103" spans="1:35" x14ac:dyDescent="0.3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9"/>
      <c r="Z103" s="29"/>
      <c r="AA103" s="29"/>
      <c r="AB103" s="29"/>
      <c r="AC103" s="29"/>
      <c r="AD103" s="29"/>
      <c r="AE103" s="2"/>
      <c r="AF103" s="2"/>
      <c r="AG103" s="2"/>
      <c r="AH103" s="2"/>
      <c r="AI103" s="9"/>
    </row>
    <row r="104" spans="1:35" x14ac:dyDescent="0.35">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1"/>
      <c r="Z104" s="31"/>
      <c r="AA104" s="31"/>
      <c r="AB104" s="31"/>
      <c r="AC104" s="31"/>
      <c r="AD104" s="31"/>
      <c r="AE104" s="4"/>
      <c r="AF104" s="4"/>
      <c r="AG104" s="4"/>
      <c r="AH104" s="4"/>
      <c r="AI104" s="10"/>
    </row>
    <row r="105" spans="1:35" x14ac:dyDescent="0.3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9"/>
      <c r="Z105" s="29"/>
      <c r="AA105" s="29"/>
      <c r="AB105" s="29"/>
      <c r="AC105" s="29"/>
      <c r="AD105" s="29"/>
      <c r="AE105" s="2"/>
      <c r="AF105" s="2"/>
      <c r="AG105" s="2"/>
      <c r="AH105" s="2"/>
      <c r="AI105" s="9"/>
    </row>
    <row r="106" spans="1:35" x14ac:dyDescent="0.35">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1"/>
      <c r="Z106" s="31"/>
      <c r="AA106" s="31"/>
      <c r="AB106" s="31"/>
      <c r="AC106" s="31"/>
      <c r="AD106" s="31"/>
      <c r="AE106" s="4"/>
      <c r="AF106" s="4"/>
      <c r="AG106" s="4"/>
      <c r="AH106" s="4"/>
      <c r="AI106" s="10"/>
    </row>
    <row r="107" spans="1:35" x14ac:dyDescent="0.3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9"/>
      <c r="Z107" s="29"/>
      <c r="AA107" s="29"/>
      <c r="AB107" s="29"/>
      <c r="AC107" s="29"/>
      <c r="AD107" s="29"/>
      <c r="AE107" s="2"/>
      <c r="AF107" s="2"/>
      <c r="AG107" s="2"/>
      <c r="AH107" s="2"/>
      <c r="AI107" s="9"/>
    </row>
    <row r="108" spans="1:35" x14ac:dyDescent="0.35">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1"/>
      <c r="Z108" s="31"/>
      <c r="AA108" s="31"/>
      <c r="AB108" s="31"/>
      <c r="AC108" s="31"/>
      <c r="AD108" s="31"/>
      <c r="AE108" s="4"/>
      <c r="AF108" s="4"/>
      <c r="AG108" s="4"/>
      <c r="AH108" s="4"/>
      <c r="AI108" s="10"/>
    </row>
    <row r="109" spans="1:35" x14ac:dyDescent="0.3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9"/>
      <c r="Z109" s="29"/>
      <c r="AA109" s="29"/>
      <c r="AB109" s="29"/>
      <c r="AC109" s="29"/>
      <c r="AD109" s="29"/>
      <c r="AE109" s="2"/>
      <c r="AF109" s="2"/>
      <c r="AG109" s="2"/>
      <c r="AH109" s="2"/>
      <c r="AI109" s="9"/>
    </row>
    <row r="110" spans="1:35" x14ac:dyDescent="0.35">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1"/>
      <c r="Z110" s="31"/>
      <c r="AA110" s="31"/>
      <c r="AB110" s="31"/>
      <c r="AC110" s="31"/>
      <c r="AD110" s="31"/>
      <c r="AE110" s="4"/>
      <c r="AF110" s="4"/>
      <c r="AG110" s="4"/>
      <c r="AH110" s="4"/>
      <c r="AI110" s="10"/>
    </row>
    <row r="111" spans="1:35" x14ac:dyDescent="0.3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9"/>
      <c r="Z111" s="29"/>
      <c r="AA111" s="29"/>
      <c r="AB111" s="29"/>
      <c r="AC111" s="29"/>
      <c r="AD111" s="29"/>
      <c r="AE111" s="2"/>
      <c r="AF111" s="2"/>
      <c r="AG111" s="2"/>
      <c r="AH111" s="2"/>
      <c r="AI111" s="9"/>
    </row>
    <row r="112" spans="1:35" x14ac:dyDescent="0.35">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1"/>
      <c r="Z112" s="31"/>
      <c r="AA112" s="31"/>
      <c r="AB112" s="31"/>
      <c r="AC112" s="31"/>
      <c r="AD112" s="31"/>
      <c r="AE112" s="4"/>
      <c r="AF112" s="4"/>
      <c r="AG112" s="4"/>
      <c r="AH112" s="4"/>
      <c r="AI112" s="10"/>
    </row>
    <row r="113" spans="1:35" x14ac:dyDescent="0.3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9"/>
      <c r="Z113" s="29"/>
      <c r="AA113" s="29"/>
      <c r="AB113" s="29"/>
      <c r="AC113" s="29"/>
      <c r="AD113" s="29"/>
      <c r="AE113" s="2"/>
      <c r="AF113" s="2"/>
      <c r="AG113" s="2"/>
      <c r="AH113" s="2"/>
      <c r="AI113" s="9"/>
    </row>
    <row r="114" spans="1:35" x14ac:dyDescent="0.35">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1"/>
      <c r="Z114" s="31"/>
      <c r="AA114" s="31"/>
      <c r="AB114" s="31"/>
      <c r="AC114" s="31"/>
      <c r="AD114" s="31"/>
      <c r="AE114" s="4"/>
      <c r="AF114" s="4"/>
      <c r="AG114" s="4"/>
      <c r="AH114" s="4"/>
      <c r="AI114" s="10"/>
    </row>
    <row r="115" spans="1:35" x14ac:dyDescent="0.3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9"/>
      <c r="Z115" s="29"/>
      <c r="AA115" s="29"/>
      <c r="AB115" s="29"/>
      <c r="AC115" s="29"/>
      <c r="AD115" s="29"/>
      <c r="AE115" s="2"/>
      <c r="AF115" s="2"/>
      <c r="AG115" s="2"/>
      <c r="AH115" s="2"/>
      <c r="AI115" s="9"/>
    </row>
    <row r="116" spans="1:35" x14ac:dyDescent="0.35">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1"/>
      <c r="Z116" s="31"/>
      <c r="AA116" s="31"/>
      <c r="AB116" s="31"/>
      <c r="AC116" s="31"/>
      <c r="AD116" s="31"/>
      <c r="AE116" s="4"/>
      <c r="AF116" s="4"/>
      <c r="AG116" s="4"/>
      <c r="AH116" s="4"/>
      <c r="AI116" s="10"/>
    </row>
    <row r="117" spans="1:35" x14ac:dyDescent="0.3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9"/>
      <c r="Z117" s="29"/>
      <c r="AA117" s="29"/>
      <c r="AB117" s="29"/>
      <c r="AC117" s="29"/>
      <c r="AD117" s="29"/>
      <c r="AE117" s="2"/>
      <c r="AF117" s="2"/>
      <c r="AG117" s="2"/>
      <c r="AH117" s="2"/>
      <c r="AI117" s="9"/>
    </row>
    <row r="118" spans="1:35" x14ac:dyDescent="0.35">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1"/>
      <c r="Z118" s="31"/>
      <c r="AA118" s="31"/>
      <c r="AB118" s="31"/>
      <c r="AC118" s="31"/>
      <c r="AD118" s="31"/>
      <c r="AE118" s="4"/>
      <c r="AF118" s="4"/>
      <c r="AG118" s="4"/>
      <c r="AH118" s="4"/>
      <c r="AI118" s="10"/>
    </row>
    <row r="119" spans="1:35" x14ac:dyDescent="0.3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9"/>
      <c r="Z119" s="29"/>
      <c r="AA119" s="29"/>
      <c r="AB119" s="29"/>
      <c r="AC119" s="29"/>
      <c r="AD119" s="29"/>
      <c r="AE119" s="2"/>
      <c r="AF119" s="2"/>
      <c r="AG119" s="2"/>
      <c r="AH119" s="2"/>
      <c r="AI119" s="9"/>
    </row>
    <row r="120" spans="1:35" x14ac:dyDescent="0.35">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1"/>
      <c r="Z120" s="31"/>
      <c r="AA120" s="31"/>
      <c r="AB120" s="31"/>
      <c r="AC120" s="31"/>
      <c r="AD120" s="31"/>
      <c r="AE120" s="4"/>
      <c r="AF120" s="4"/>
      <c r="AG120" s="4"/>
      <c r="AH120" s="4"/>
      <c r="AI120" s="10"/>
    </row>
    <row r="121" spans="1:35" x14ac:dyDescent="0.3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9"/>
      <c r="Z121" s="29"/>
      <c r="AA121" s="29"/>
      <c r="AB121" s="29"/>
      <c r="AC121" s="29"/>
      <c r="AD121" s="29"/>
      <c r="AE121" s="2"/>
      <c r="AF121" s="2"/>
      <c r="AG121" s="2"/>
      <c r="AH121" s="2"/>
      <c r="AI121" s="9"/>
    </row>
    <row r="122" spans="1:35" x14ac:dyDescent="0.35">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1"/>
      <c r="Z122" s="31"/>
      <c r="AA122" s="31"/>
      <c r="AB122" s="31"/>
      <c r="AC122" s="31"/>
      <c r="AD122" s="31"/>
      <c r="AE122" s="4"/>
      <c r="AF122" s="4"/>
      <c r="AG122" s="4"/>
      <c r="AH122" s="4"/>
      <c r="AI122" s="10"/>
    </row>
    <row r="123" spans="1:35" x14ac:dyDescent="0.3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9"/>
      <c r="Z123" s="29"/>
      <c r="AA123" s="29"/>
      <c r="AB123" s="29"/>
      <c r="AC123" s="29"/>
      <c r="AD123" s="29"/>
      <c r="AE123" s="2"/>
      <c r="AF123" s="2"/>
      <c r="AG123" s="2"/>
      <c r="AH123" s="2"/>
      <c r="AI123" s="9"/>
    </row>
    <row r="124" spans="1:35" x14ac:dyDescent="0.35">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1"/>
      <c r="Z124" s="31"/>
      <c r="AA124" s="31"/>
      <c r="AB124" s="31"/>
      <c r="AC124" s="31"/>
      <c r="AD124" s="31"/>
      <c r="AE124" s="4"/>
      <c r="AF124" s="4"/>
      <c r="AG124" s="4"/>
      <c r="AH124" s="4"/>
      <c r="AI124" s="10"/>
    </row>
    <row r="125" spans="1:35" x14ac:dyDescent="0.3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9"/>
      <c r="Z125" s="29"/>
      <c r="AA125" s="29"/>
      <c r="AB125" s="29"/>
      <c r="AC125" s="29"/>
      <c r="AD125" s="29"/>
      <c r="AE125" s="2"/>
      <c r="AF125" s="2"/>
      <c r="AG125" s="2"/>
      <c r="AH125" s="2"/>
      <c r="AI125" s="9"/>
    </row>
    <row r="126" spans="1:35" x14ac:dyDescent="0.35">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1"/>
      <c r="Z126" s="31"/>
      <c r="AA126" s="31"/>
      <c r="AB126" s="31"/>
      <c r="AC126" s="31"/>
      <c r="AD126" s="31"/>
      <c r="AE126" s="4"/>
      <c r="AF126" s="4"/>
      <c r="AG126" s="4"/>
      <c r="AH126" s="4"/>
      <c r="AI126" s="10"/>
    </row>
    <row r="127" spans="1:35" x14ac:dyDescent="0.3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9"/>
      <c r="Z127" s="29"/>
      <c r="AA127" s="29"/>
      <c r="AB127" s="29"/>
      <c r="AC127" s="29"/>
      <c r="AD127" s="29"/>
      <c r="AE127" s="2"/>
      <c r="AF127" s="2"/>
      <c r="AG127" s="2"/>
      <c r="AH127" s="2"/>
      <c r="AI127" s="9"/>
    </row>
    <row r="128" spans="1:35" x14ac:dyDescent="0.35">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1"/>
      <c r="Z128" s="31"/>
      <c r="AA128" s="31"/>
      <c r="AB128" s="31"/>
      <c r="AC128" s="31"/>
      <c r="AD128" s="31"/>
      <c r="AE128" s="4"/>
      <c r="AF128" s="4"/>
      <c r="AG128" s="4"/>
      <c r="AH128" s="4"/>
      <c r="AI128" s="10"/>
    </row>
    <row r="129" spans="1:35" x14ac:dyDescent="0.3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9"/>
      <c r="Z129" s="29"/>
      <c r="AA129" s="29"/>
      <c r="AB129" s="29"/>
      <c r="AC129" s="29"/>
      <c r="AD129" s="29"/>
      <c r="AE129" s="2"/>
      <c r="AF129" s="2"/>
      <c r="AG129" s="2"/>
      <c r="AH129" s="2"/>
      <c r="AI129" s="9"/>
    </row>
    <row r="130" spans="1:35" x14ac:dyDescent="0.35">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1"/>
      <c r="Z130" s="31"/>
      <c r="AA130" s="31"/>
      <c r="AB130" s="31"/>
      <c r="AC130" s="31"/>
      <c r="AD130" s="31"/>
      <c r="AE130" s="4"/>
      <c r="AF130" s="4"/>
      <c r="AG130" s="4"/>
      <c r="AH130" s="4"/>
      <c r="AI130" s="10"/>
    </row>
    <row r="131" spans="1:35" x14ac:dyDescent="0.3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9"/>
      <c r="Z131" s="29"/>
      <c r="AA131" s="29"/>
      <c r="AB131" s="29"/>
      <c r="AC131" s="29"/>
      <c r="AD131" s="29"/>
      <c r="AE131" s="2"/>
      <c r="AF131" s="2"/>
      <c r="AG131" s="2"/>
      <c r="AH131" s="2"/>
      <c r="AI131" s="9"/>
    </row>
    <row r="132" spans="1:35" x14ac:dyDescent="0.35">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1"/>
      <c r="Z132" s="31"/>
      <c r="AA132" s="31"/>
      <c r="AB132" s="31"/>
      <c r="AC132" s="31"/>
      <c r="AD132" s="31"/>
      <c r="AE132" s="4"/>
      <c r="AF132" s="4"/>
      <c r="AG132" s="4"/>
      <c r="AH132" s="4"/>
      <c r="AI132" s="10"/>
    </row>
    <row r="133" spans="1:35" x14ac:dyDescent="0.3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9"/>
      <c r="Z133" s="29"/>
      <c r="AA133" s="29"/>
      <c r="AB133" s="29"/>
      <c r="AC133" s="29"/>
      <c r="AD133" s="29"/>
      <c r="AE133" s="2"/>
      <c r="AF133" s="2"/>
      <c r="AG133" s="2"/>
      <c r="AH133" s="2"/>
      <c r="AI133" s="9"/>
    </row>
    <row r="134" spans="1:35" x14ac:dyDescent="0.35">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1"/>
      <c r="Z134" s="31"/>
      <c r="AA134" s="31"/>
      <c r="AB134" s="31"/>
      <c r="AC134" s="31"/>
      <c r="AD134" s="31"/>
      <c r="AE134" s="4"/>
      <c r="AF134" s="4"/>
      <c r="AG134" s="4"/>
      <c r="AH134" s="4"/>
      <c r="AI134" s="10"/>
    </row>
    <row r="135" spans="1:35" x14ac:dyDescent="0.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9"/>
      <c r="Z135" s="29"/>
      <c r="AA135" s="29"/>
      <c r="AB135" s="29"/>
      <c r="AC135" s="29"/>
      <c r="AD135" s="29"/>
      <c r="AE135" s="2"/>
      <c r="AF135" s="2"/>
      <c r="AG135" s="2"/>
      <c r="AH135" s="2"/>
      <c r="AI135" s="9"/>
    </row>
    <row r="136" spans="1:35" x14ac:dyDescent="0.35">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1"/>
      <c r="Z136" s="31"/>
      <c r="AA136" s="31"/>
      <c r="AB136" s="31"/>
      <c r="AC136" s="31"/>
      <c r="AD136" s="31"/>
      <c r="AE136" s="4"/>
      <c r="AF136" s="4"/>
      <c r="AG136" s="4"/>
      <c r="AH136" s="4"/>
      <c r="AI136" s="10"/>
    </row>
    <row r="137" spans="1:35" x14ac:dyDescent="0.3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9"/>
      <c r="Z137" s="29"/>
      <c r="AA137" s="29"/>
      <c r="AB137" s="29"/>
      <c r="AC137" s="29"/>
      <c r="AD137" s="29"/>
      <c r="AE137" s="2"/>
      <c r="AF137" s="2"/>
      <c r="AG137" s="2"/>
      <c r="AH137" s="2"/>
      <c r="AI137" s="9"/>
    </row>
    <row r="138" spans="1:35" x14ac:dyDescent="0.35">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1"/>
      <c r="Z138" s="31"/>
      <c r="AA138" s="31"/>
      <c r="AB138" s="31"/>
      <c r="AC138" s="31"/>
      <c r="AD138" s="31"/>
      <c r="AE138" s="4"/>
      <c r="AF138" s="4"/>
      <c r="AG138" s="4"/>
      <c r="AH138" s="4"/>
      <c r="AI138" s="10"/>
    </row>
    <row r="139" spans="1:35" x14ac:dyDescent="0.3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9"/>
      <c r="Z139" s="29"/>
      <c r="AA139" s="29"/>
      <c r="AB139" s="29"/>
      <c r="AC139" s="29"/>
      <c r="AD139" s="29"/>
      <c r="AE139" s="2"/>
      <c r="AF139" s="2"/>
      <c r="AG139" s="2"/>
      <c r="AH139" s="2"/>
      <c r="AI139" s="9"/>
    </row>
    <row r="140" spans="1:35" x14ac:dyDescent="0.35">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1"/>
      <c r="Z140" s="31"/>
      <c r="AA140" s="31"/>
      <c r="AB140" s="31"/>
      <c r="AC140" s="31"/>
      <c r="AD140" s="31"/>
      <c r="AE140" s="4"/>
      <c r="AF140" s="4"/>
      <c r="AG140" s="4"/>
      <c r="AH140" s="4"/>
      <c r="AI140" s="10"/>
    </row>
    <row r="141" spans="1:35" x14ac:dyDescent="0.3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9"/>
      <c r="Z141" s="29"/>
      <c r="AA141" s="29"/>
      <c r="AB141" s="29"/>
      <c r="AC141" s="29"/>
      <c r="AD141" s="29"/>
      <c r="AE141" s="2"/>
      <c r="AF141" s="2"/>
      <c r="AG141" s="2"/>
      <c r="AH141" s="2"/>
      <c r="AI141" s="9"/>
    </row>
    <row r="142" spans="1:35" x14ac:dyDescent="0.35">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1"/>
      <c r="Z142" s="31"/>
      <c r="AA142" s="31"/>
      <c r="AB142" s="31"/>
      <c r="AC142" s="31"/>
      <c r="AD142" s="31"/>
      <c r="AE142" s="4"/>
      <c r="AF142" s="4"/>
      <c r="AG142" s="4"/>
      <c r="AH142" s="4"/>
      <c r="AI142" s="10"/>
    </row>
    <row r="143" spans="1:35" x14ac:dyDescent="0.3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9"/>
      <c r="Z143" s="29"/>
      <c r="AA143" s="29"/>
      <c r="AB143" s="29"/>
      <c r="AC143" s="29"/>
      <c r="AD143" s="29"/>
      <c r="AE143" s="2"/>
      <c r="AF143" s="2"/>
      <c r="AG143" s="2"/>
      <c r="AH143" s="2"/>
      <c r="AI143" s="9"/>
    </row>
    <row r="144" spans="1:35" x14ac:dyDescent="0.35">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1"/>
      <c r="Z144" s="31"/>
      <c r="AA144" s="31"/>
      <c r="AB144" s="31"/>
      <c r="AC144" s="31"/>
      <c r="AD144" s="31"/>
      <c r="AE144" s="4"/>
      <c r="AF144" s="4"/>
      <c r="AG144" s="4"/>
      <c r="AH144" s="4"/>
      <c r="AI144" s="10"/>
    </row>
    <row r="145" spans="1:35" x14ac:dyDescent="0.3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9"/>
      <c r="Z145" s="29"/>
      <c r="AA145" s="29"/>
      <c r="AB145" s="29"/>
      <c r="AC145" s="29"/>
      <c r="AD145" s="29"/>
      <c r="AE145" s="2"/>
      <c r="AF145" s="2"/>
      <c r="AG145" s="2"/>
      <c r="AH145" s="2"/>
      <c r="AI145" s="9"/>
    </row>
    <row r="146" spans="1:35" x14ac:dyDescent="0.35">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1"/>
      <c r="Z146" s="31"/>
      <c r="AA146" s="31"/>
      <c r="AB146" s="31"/>
      <c r="AC146" s="31"/>
      <c r="AD146" s="31"/>
      <c r="AE146" s="4"/>
      <c r="AF146" s="4"/>
      <c r="AG146" s="4"/>
      <c r="AH146" s="4"/>
      <c r="AI146" s="10"/>
    </row>
    <row r="147" spans="1:35" x14ac:dyDescent="0.3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9"/>
      <c r="Z147" s="29"/>
      <c r="AA147" s="29"/>
      <c r="AB147" s="29"/>
      <c r="AC147" s="29"/>
      <c r="AD147" s="29"/>
      <c r="AE147" s="2"/>
      <c r="AF147" s="2"/>
      <c r="AG147" s="2"/>
      <c r="AH147" s="2"/>
      <c r="AI147" s="9"/>
    </row>
    <row r="148" spans="1:35" x14ac:dyDescent="0.35">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1"/>
      <c r="Z148" s="31"/>
      <c r="AA148" s="31"/>
      <c r="AB148" s="31"/>
      <c r="AC148" s="31"/>
      <c r="AD148" s="31"/>
      <c r="AE148" s="4"/>
      <c r="AF148" s="4"/>
      <c r="AG148" s="4"/>
      <c r="AH148" s="4"/>
      <c r="AI148" s="10"/>
    </row>
    <row r="149" spans="1:35" x14ac:dyDescent="0.3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9"/>
      <c r="Z149" s="29"/>
      <c r="AA149" s="29"/>
      <c r="AB149" s="29"/>
      <c r="AC149" s="29"/>
      <c r="AD149" s="29"/>
      <c r="AE149" s="2"/>
      <c r="AF149" s="2"/>
      <c r="AG149" s="2"/>
      <c r="AH149" s="2"/>
      <c r="AI149" s="9"/>
    </row>
    <row r="150" spans="1:35" x14ac:dyDescent="0.35">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1"/>
      <c r="Z150" s="31"/>
      <c r="AA150" s="31"/>
      <c r="AB150" s="31"/>
      <c r="AC150" s="31"/>
      <c r="AD150" s="31"/>
      <c r="AE150" s="4"/>
      <c r="AF150" s="4"/>
      <c r="AG150" s="4"/>
      <c r="AH150" s="4"/>
      <c r="AI150" s="10"/>
    </row>
    <row r="151" spans="1:35" x14ac:dyDescent="0.3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9"/>
      <c r="Z151" s="29"/>
      <c r="AA151" s="29"/>
      <c r="AB151" s="29"/>
      <c r="AC151" s="29"/>
      <c r="AD151" s="29"/>
      <c r="AE151" s="2"/>
      <c r="AF151" s="2"/>
      <c r="AG151" s="2"/>
      <c r="AH151" s="2"/>
      <c r="AI151" s="9"/>
    </row>
    <row r="152" spans="1:35" x14ac:dyDescent="0.35">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1"/>
      <c r="Z152" s="31"/>
      <c r="AA152" s="31"/>
      <c r="AB152" s="31"/>
      <c r="AC152" s="31"/>
      <c r="AD152" s="31"/>
      <c r="AE152" s="4"/>
      <c r="AF152" s="4"/>
      <c r="AG152" s="4"/>
      <c r="AH152" s="4"/>
      <c r="AI152" s="10"/>
    </row>
    <row r="153" spans="1:35" x14ac:dyDescent="0.3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9"/>
      <c r="Z153" s="29"/>
      <c r="AA153" s="29"/>
      <c r="AB153" s="29"/>
      <c r="AC153" s="29"/>
      <c r="AD153" s="29"/>
      <c r="AE153" s="2"/>
      <c r="AF153" s="2"/>
      <c r="AG153" s="2"/>
      <c r="AH153" s="2"/>
      <c r="AI153" s="9"/>
    </row>
    <row r="154" spans="1:35" x14ac:dyDescent="0.35">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1"/>
      <c r="Z154" s="31"/>
      <c r="AA154" s="31"/>
      <c r="AB154" s="31"/>
      <c r="AC154" s="31"/>
      <c r="AD154" s="31"/>
      <c r="AE154" s="4"/>
      <c r="AF154" s="4"/>
      <c r="AG154" s="4"/>
      <c r="AH154" s="4"/>
      <c r="AI154" s="10"/>
    </row>
    <row r="155" spans="1:35" x14ac:dyDescent="0.3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9"/>
      <c r="Z155" s="29"/>
      <c r="AA155" s="29"/>
      <c r="AB155" s="29"/>
      <c r="AC155" s="29"/>
      <c r="AD155" s="29"/>
      <c r="AE155" s="2"/>
      <c r="AF155" s="2"/>
      <c r="AG155" s="2"/>
      <c r="AH155" s="2"/>
      <c r="AI155" s="9"/>
    </row>
    <row r="156" spans="1:35" x14ac:dyDescent="0.35">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1"/>
      <c r="Z156" s="31"/>
      <c r="AA156" s="31"/>
      <c r="AB156" s="31"/>
      <c r="AC156" s="31"/>
      <c r="AD156" s="31"/>
      <c r="AE156" s="4"/>
      <c r="AF156" s="4"/>
      <c r="AG156" s="4"/>
      <c r="AH156" s="4"/>
      <c r="AI156" s="10"/>
    </row>
    <row r="157" spans="1:35" x14ac:dyDescent="0.3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9"/>
      <c r="Z157" s="29"/>
      <c r="AA157" s="29"/>
      <c r="AB157" s="29"/>
      <c r="AC157" s="29"/>
      <c r="AD157" s="29"/>
      <c r="AE157" s="2"/>
      <c r="AF157" s="2"/>
      <c r="AG157" s="2"/>
      <c r="AH157" s="2"/>
      <c r="AI157" s="9"/>
    </row>
    <row r="158" spans="1:35" x14ac:dyDescent="0.35">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1"/>
      <c r="Z158" s="31"/>
      <c r="AA158" s="31"/>
      <c r="AB158" s="31"/>
      <c r="AC158" s="31"/>
      <c r="AD158" s="31"/>
      <c r="AE158" s="4"/>
      <c r="AF158" s="4"/>
      <c r="AG158" s="4"/>
      <c r="AH158" s="4"/>
      <c r="AI158" s="10"/>
    </row>
    <row r="159" spans="1:35" x14ac:dyDescent="0.3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9"/>
      <c r="Z159" s="29"/>
      <c r="AA159" s="29"/>
      <c r="AB159" s="29"/>
      <c r="AC159" s="29"/>
      <c r="AD159" s="29"/>
      <c r="AE159" s="2"/>
      <c r="AF159" s="2"/>
      <c r="AG159" s="2"/>
      <c r="AH159" s="2"/>
      <c r="AI159" s="9"/>
    </row>
    <row r="160" spans="1:35" x14ac:dyDescent="0.35">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1"/>
      <c r="Z160" s="31"/>
      <c r="AA160" s="31"/>
      <c r="AB160" s="31"/>
      <c r="AC160" s="31"/>
      <c r="AD160" s="31"/>
      <c r="AE160" s="4"/>
      <c r="AF160" s="4"/>
      <c r="AG160" s="4"/>
      <c r="AH160" s="4"/>
      <c r="AI160" s="10"/>
    </row>
    <row r="161" spans="1:35" x14ac:dyDescent="0.3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9"/>
      <c r="Z161" s="29"/>
      <c r="AA161" s="29"/>
      <c r="AB161" s="29"/>
      <c r="AC161" s="29"/>
      <c r="AD161" s="29"/>
      <c r="AE161" s="2"/>
      <c r="AF161" s="2"/>
      <c r="AG161" s="2"/>
      <c r="AH161" s="2"/>
      <c r="AI161" s="9"/>
    </row>
    <row r="162" spans="1:35" x14ac:dyDescent="0.35">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1"/>
      <c r="Z162" s="31"/>
      <c r="AA162" s="31"/>
      <c r="AB162" s="31"/>
      <c r="AC162" s="31"/>
      <c r="AD162" s="31"/>
      <c r="AE162" s="4"/>
      <c r="AF162" s="4"/>
      <c r="AG162" s="4"/>
      <c r="AH162" s="4"/>
      <c r="AI162" s="10"/>
    </row>
    <row r="163" spans="1:35" x14ac:dyDescent="0.3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9"/>
      <c r="Z163" s="29"/>
      <c r="AA163" s="29"/>
      <c r="AB163" s="29"/>
      <c r="AC163" s="29"/>
      <c r="AD163" s="29"/>
      <c r="AE163" s="2"/>
      <c r="AF163" s="2"/>
      <c r="AG163" s="2"/>
      <c r="AH163" s="2"/>
      <c r="AI163" s="9"/>
    </row>
    <row r="164" spans="1:35" x14ac:dyDescent="0.35">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1"/>
      <c r="Z164" s="31"/>
      <c r="AA164" s="31"/>
      <c r="AB164" s="31"/>
      <c r="AC164" s="31"/>
      <c r="AD164" s="31"/>
      <c r="AE164" s="4"/>
      <c r="AF164" s="4"/>
      <c r="AG164" s="4"/>
      <c r="AH164" s="4"/>
      <c r="AI164" s="10"/>
    </row>
    <row r="165" spans="1:35" x14ac:dyDescent="0.3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9"/>
      <c r="Z165" s="29"/>
      <c r="AA165" s="29"/>
      <c r="AB165" s="29"/>
      <c r="AC165" s="29"/>
      <c r="AD165" s="29"/>
      <c r="AE165" s="2"/>
      <c r="AF165" s="2"/>
      <c r="AG165" s="2"/>
      <c r="AH165" s="2"/>
      <c r="AI165" s="9"/>
    </row>
    <row r="166" spans="1:35" x14ac:dyDescent="0.35">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1"/>
      <c r="Z166" s="31"/>
      <c r="AA166" s="31"/>
      <c r="AB166" s="31"/>
      <c r="AC166" s="31"/>
      <c r="AD166" s="31"/>
      <c r="AE166" s="4"/>
      <c r="AF166" s="4"/>
      <c r="AG166" s="4"/>
      <c r="AH166" s="4"/>
      <c r="AI166" s="10"/>
    </row>
    <row r="167" spans="1:35" x14ac:dyDescent="0.3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9"/>
      <c r="Z167" s="29"/>
      <c r="AA167" s="29"/>
      <c r="AB167" s="29"/>
      <c r="AC167" s="29"/>
      <c r="AD167" s="29"/>
      <c r="AE167" s="2"/>
      <c r="AF167" s="2"/>
      <c r="AG167" s="2"/>
      <c r="AH167" s="2"/>
      <c r="AI167" s="9"/>
    </row>
    <row r="168" spans="1:35" x14ac:dyDescent="0.35">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1"/>
      <c r="Z168" s="31"/>
      <c r="AA168" s="31"/>
      <c r="AB168" s="31"/>
      <c r="AC168" s="31"/>
      <c r="AD168" s="31"/>
      <c r="AE168" s="4"/>
      <c r="AF168" s="4"/>
      <c r="AG168" s="4"/>
      <c r="AH168" s="4"/>
      <c r="AI168" s="10"/>
    </row>
    <row r="169" spans="1:35" x14ac:dyDescent="0.3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9"/>
      <c r="Z169" s="29"/>
      <c r="AA169" s="29"/>
      <c r="AB169" s="29"/>
      <c r="AC169" s="29"/>
      <c r="AD169" s="29"/>
      <c r="AE169" s="2"/>
      <c r="AF169" s="2"/>
      <c r="AG169" s="2"/>
      <c r="AH169" s="2"/>
      <c r="AI169" s="9"/>
    </row>
    <row r="170" spans="1:35" x14ac:dyDescent="0.35">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1"/>
      <c r="Z170" s="31"/>
      <c r="AA170" s="31"/>
      <c r="AB170" s="31"/>
      <c r="AC170" s="31"/>
      <c r="AD170" s="31"/>
      <c r="AE170" s="4"/>
      <c r="AF170" s="4"/>
      <c r="AG170" s="4"/>
      <c r="AH170" s="4"/>
      <c r="AI170" s="10"/>
    </row>
    <row r="171" spans="1:35" x14ac:dyDescent="0.3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9"/>
      <c r="Z171" s="29"/>
      <c r="AA171" s="29"/>
      <c r="AB171" s="29"/>
      <c r="AC171" s="29"/>
      <c r="AD171" s="29"/>
      <c r="AE171" s="2"/>
      <c r="AF171" s="2"/>
      <c r="AG171" s="2"/>
      <c r="AH171" s="2"/>
      <c r="AI171" s="9"/>
    </row>
    <row r="172" spans="1:35" x14ac:dyDescent="0.35">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1"/>
      <c r="Z172" s="31"/>
      <c r="AA172" s="31"/>
      <c r="AB172" s="31"/>
      <c r="AC172" s="31"/>
      <c r="AD172" s="31"/>
      <c r="AE172" s="4"/>
      <c r="AF172" s="4"/>
      <c r="AG172" s="4"/>
      <c r="AH172" s="4"/>
      <c r="AI172" s="10"/>
    </row>
    <row r="173" spans="1:35" x14ac:dyDescent="0.3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9"/>
      <c r="Z173" s="29"/>
      <c r="AA173" s="29"/>
      <c r="AB173" s="29"/>
      <c r="AC173" s="29"/>
      <c r="AD173" s="29"/>
      <c r="AE173" s="2"/>
      <c r="AF173" s="2"/>
      <c r="AG173" s="2"/>
      <c r="AH173" s="2"/>
      <c r="AI173" s="9"/>
    </row>
    <row r="174" spans="1:35" x14ac:dyDescent="0.35">
      <c r="A174" s="32"/>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1"/>
      <c r="Z174" s="31"/>
      <c r="AA174" s="31"/>
      <c r="AB174" s="31"/>
      <c r="AC174" s="31"/>
      <c r="AD174" s="31"/>
      <c r="AE174" s="4"/>
      <c r="AF174" s="4"/>
      <c r="AG174" s="4"/>
      <c r="AH174" s="4"/>
      <c r="AI174" s="10"/>
    </row>
    <row r="175" spans="1:35" x14ac:dyDescent="0.35">
      <c r="A175" s="34"/>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
      <c r="AF175" s="2"/>
      <c r="AG175" s="2"/>
      <c r="AH175" s="2"/>
      <c r="AI175" s="9"/>
    </row>
    <row r="176" spans="1:35" x14ac:dyDescent="0.35">
      <c r="A176" s="35"/>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4"/>
      <c r="AF176" s="4"/>
      <c r="AG176" s="4"/>
      <c r="AH176" s="4"/>
      <c r="AI176" s="10"/>
    </row>
    <row r="177" spans="1:35" x14ac:dyDescent="0.35">
      <c r="A177" s="34"/>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
      <c r="AF177" s="2"/>
      <c r="AG177" s="2"/>
      <c r="AH177" s="2"/>
      <c r="AI177" s="9"/>
    </row>
    <row r="178" spans="1:35" x14ac:dyDescent="0.35">
      <c r="A178" s="35"/>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4"/>
      <c r="AF178" s="4"/>
      <c r="AG178" s="4"/>
      <c r="AH178" s="4"/>
      <c r="AI178" s="10"/>
    </row>
    <row r="179" spans="1:35" x14ac:dyDescent="0.35">
      <c r="A179" s="34"/>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
      <c r="AF179" s="2"/>
      <c r="AG179" s="2"/>
      <c r="AH179" s="2"/>
      <c r="AI179" s="9"/>
    </row>
    <row r="180" spans="1:35" x14ac:dyDescent="0.35">
      <c r="A180" s="35"/>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4"/>
      <c r="AF180" s="4"/>
      <c r="AG180" s="4"/>
      <c r="AH180" s="4"/>
      <c r="AI180" s="10"/>
    </row>
    <row r="181" spans="1:35" x14ac:dyDescent="0.35">
      <c r="A181" s="34"/>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
      <c r="AF181" s="2"/>
      <c r="AG181" s="2"/>
      <c r="AH181" s="2"/>
      <c r="AI181" s="9"/>
    </row>
    <row r="182" spans="1:35" x14ac:dyDescent="0.35">
      <c r="A182" s="35"/>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4"/>
      <c r="AF182" s="4"/>
      <c r="AG182" s="4"/>
      <c r="AH182" s="4"/>
      <c r="AI182" s="10"/>
    </row>
    <row r="183" spans="1:35" x14ac:dyDescent="0.35">
      <c r="A183" s="34"/>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
      <c r="AF183" s="2"/>
      <c r="AG183" s="2"/>
      <c r="AH183" s="2"/>
      <c r="AI183" s="9"/>
    </row>
    <row r="184" spans="1:35" x14ac:dyDescent="0.35">
      <c r="A184" s="35"/>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4"/>
      <c r="AF184" s="4"/>
      <c r="AG184" s="4"/>
      <c r="AH184" s="4"/>
      <c r="AI184" s="10"/>
    </row>
    <row r="185" spans="1:35" x14ac:dyDescent="0.35">
      <c r="A185" s="34"/>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
      <c r="AF185" s="2"/>
      <c r="AG185" s="2"/>
      <c r="AH185" s="2"/>
      <c r="AI185" s="9"/>
    </row>
    <row r="186" spans="1:35" x14ac:dyDescent="0.35">
      <c r="A186" s="35"/>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4"/>
      <c r="AF186" s="4"/>
      <c r="AG186" s="4"/>
      <c r="AH186" s="4"/>
      <c r="AI186" s="10"/>
    </row>
    <row r="187" spans="1:35" x14ac:dyDescent="0.35">
      <c r="A187" s="34"/>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
      <c r="AF187" s="2"/>
      <c r="AG187" s="2"/>
      <c r="AH187" s="2"/>
      <c r="AI187" s="9"/>
    </row>
    <row r="188" spans="1:35" x14ac:dyDescent="0.35">
      <c r="A188" s="35"/>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4"/>
      <c r="AF188" s="4"/>
      <c r="AG188" s="4"/>
      <c r="AH188" s="4"/>
      <c r="AI188" s="10"/>
    </row>
    <row r="189" spans="1:35" x14ac:dyDescent="0.35">
      <c r="A189" s="34"/>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
      <c r="AF189" s="2"/>
      <c r="AG189" s="2"/>
      <c r="AH189" s="2"/>
      <c r="AI189" s="9"/>
    </row>
    <row r="190" spans="1:35" x14ac:dyDescent="0.35">
      <c r="A190" s="35"/>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4"/>
      <c r="AF190" s="4"/>
      <c r="AG190" s="4"/>
      <c r="AH190" s="4"/>
      <c r="AI190" s="10"/>
    </row>
    <row r="191" spans="1:35" x14ac:dyDescent="0.35">
      <c r="A191" s="34"/>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
      <c r="AF191" s="2"/>
      <c r="AG191" s="2"/>
      <c r="AH191" s="2"/>
      <c r="AI191" s="9"/>
    </row>
    <row r="192" spans="1:35" x14ac:dyDescent="0.35">
      <c r="A192" s="35"/>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4"/>
      <c r="AF192" s="4"/>
      <c r="AG192" s="4"/>
      <c r="AH192" s="4"/>
      <c r="AI192" s="10"/>
    </row>
    <row r="193" spans="1:35" x14ac:dyDescent="0.35">
      <c r="A193" s="34"/>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
      <c r="AF193" s="2"/>
      <c r="AG193" s="2"/>
      <c r="AH193" s="2"/>
      <c r="AI193" s="9"/>
    </row>
    <row r="194" spans="1:35" x14ac:dyDescent="0.35">
      <c r="A194" s="35"/>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4"/>
      <c r="AF194" s="4"/>
      <c r="AG194" s="4"/>
      <c r="AH194" s="4"/>
      <c r="AI194" s="10"/>
    </row>
    <row r="195" spans="1:35" x14ac:dyDescent="0.35">
      <c r="A195" s="34"/>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
      <c r="AF195" s="2"/>
      <c r="AG195" s="2"/>
      <c r="AH195" s="2"/>
      <c r="AI195" s="9"/>
    </row>
    <row r="196" spans="1:35" x14ac:dyDescent="0.35">
      <c r="A196" s="35"/>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4"/>
      <c r="AF196" s="4"/>
      <c r="AG196" s="4"/>
      <c r="AH196" s="4"/>
      <c r="AI196" s="10"/>
    </row>
    <row r="197" spans="1:35" x14ac:dyDescent="0.35">
      <c r="A197" s="34"/>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
      <c r="AF197" s="2"/>
      <c r="AG197" s="2"/>
      <c r="AH197" s="2"/>
      <c r="AI197" s="9"/>
    </row>
    <row r="198" spans="1:35" x14ac:dyDescent="0.35">
      <c r="A198" s="35"/>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4"/>
      <c r="AF198" s="4"/>
      <c r="AG198" s="4"/>
      <c r="AH198" s="4"/>
      <c r="AI198" s="10"/>
    </row>
    <row r="199" spans="1:35" x14ac:dyDescent="0.35">
      <c r="A199" s="34"/>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
      <c r="AF199" s="2"/>
      <c r="AG199" s="2"/>
      <c r="AH199" s="2"/>
      <c r="AI199" s="9"/>
    </row>
    <row r="200" spans="1:35" x14ac:dyDescent="0.35">
      <c r="A200" s="35"/>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4"/>
      <c r="AF200" s="4"/>
      <c r="AG200" s="4"/>
      <c r="AH200" s="4"/>
      <c r="AI200" s="10"/>
    </row>
    <row r="201" spans="1:35" x14ac:dyDescent="0.35">
      <c r="A201" s="34"/>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
      <c r="AF201" s="2"/>
      <c r="AG201" s="2"/>
      <c r="AH201" s="2"/>
      <c r="AI201" s="9"/>
    </row>
    <row r="202" spans="1:35" x14ac:dyDescent="0.35">
      <c r="A202" s="35"/>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4"/>
      <c r="AF202" s="4"/>
      <c r="AG202" s="4"/>
      <c r="AH202" s="4"/>
      <c r="AI202" s="10"/>
    </row>
    <row r="203" spans="1:35" x14ac:dyDescent="0.35">
      <c r="A203" s="34"/>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
      <c r="AF203" s="2"/>
      <c r="AG203" s="2"/>
      <c r="AH203" s="2"/>
      <c r="AI203" s="9"/>
    </row>
    <row r="204" spans="1:35" x14ac:dyDescent="0.35">
      <c r="A204" s="35"/>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4"/>
      <c r="AF204" s="4"/>
      <c r="AG204" s="4"/>
      <c r="AH204" s="4"/>
      <c r="AI204" s="10"/>
    </row>
    <row r="205" spans="1:35" x14ac:dyDescent="0.35">
      <c r="A205" s="34"/>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
      <c r="AF205" s="2"/>
      <c r="AG205" s="2"/>
      <c r="AH205" s="2"/>
      <c r="AI205" s="9"/>
    </row>
    <row r="206" spans="1:35" x14ac:dyDescent="0.35">
      <c r="A206" s="35"/>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4"/>
      <c r="AF206" s="4"/>
      <c r="AG206" s="4"/>
      <c r="AH206" s="4"/>
      <c r="AI206" s="10"/>
    </row>
    <row r="207" spans="1:35" x14ac:dyDescent="0.35">
      <c r="A207" s="34"/>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
      <c r="AF207" s="2"/>
      <c r="AG207" s="2"/>
      <c r="AH207" s="2"/>
      <c r="AI207" s="9"/>
    </row>
    <row r="208" spans="1:35" x14ac:dyDescent="0.35">
      <c r="A208" s="35"/>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4"/>
      <c r="AF208" s="4"/>
      <c r="AG208" s="4"/>
      <c r="AH208" s="4"/>
      <c r="AI208" s="10"/>
    </row>
    <row r="209" spans="1:35" x14ac:dyDescent="0.35">
      <c r="A209" s="34"/>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
      <c r="AF209" s="2"/>
      <c r="AG209" s="2"/>
      <c r="AH209" s="2"/>
      <c r="AI209" s="9"/>
    </row>
    <row r="210" spans="1:35" x14ac:dyDescent="0.35">
      <c r="A210" s="35"/>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4"/>
      <c r="AF210" s="4"/>
      <c r="AG210" s="4"/>
      <c r="AH210" s="4"/>
      <c r="AI210" s="10"/>
    </row>
    <row r="211" spans="1:35" x14ac:dyDescent="0.35">
      <c r="A211" s="34"/>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
      <c r="AF211" s="2"/>
      <c r="AG211" s="2"/>
      <c r="AH211" s="2"/>
      <c r="AI211" s="9"/>
    </row>
    <row r="212" spans="1:35" x14ac:dyDescent="0.35">
      <c r="A212" s="35"/>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4"/>
      <c r="AF212" s="4"/>
      <c r="AG212" s="4"/>
      <c r="AH212" s="4"/>
      <c r="AI212" s="10"/>
    </row>
    <row r="213" spans="1:35" x14ac:dyDescent="0.35">
      <c r="A213" s="34"/>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
      <c r="AF213" s="2"/>
      <c r="AG213" s="2"/>
      <c r="AH213" s="2"/>
      <c r="AI213" s="9"/>
    </row>
    <row r="214" spans="1:35" x14ac:dyDescent="0.35">
      <c r="A214" s="35"/>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4"/>
      <c r="AF214" s="4"/>
      <c r="AG214" s="4"/>
      <c r="AH214" s="4"/>
      <c r="AI214" s="10"/>
    </row>
    <row r="215" spans="1:35" x14ac:dyDescent="0.35">
      <c r="A215" s="34"/>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
      <c r="AF215" s="2"/>
      <c r="AG215" s="2"/>
      <c r="AH215" s="2"/>
      <c r="AI215" s="9"/>
    </row>
    <row r="216" spans="1:35" x14ac:dyDescent="0.35">
      <c r="A216" s="35"/>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4"/>
      <c r="AF216" s="4"/>
      <c r="AG216" s="4"/>
      <c r="AH216" s="4"/>
      <c r="AI216" s="10"/>
    </row>
    <row r="217" spans="1:35" x14ac:dyDescent="0.35">
      <c r="A217" s="34"/>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
      <c r="AF217" s="2"/>
      <c r="AG217" s="2"/>
      <c r="AH217" s="2"/>
      <c r="AI217" s="9"/>
    </row>
    <row r="218" spans="1:35" x14ac:dyDescent="0.35">
      <c r="A218" s="35"/>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4"/>
      <c r="AF218" s="4"/>
      <c r="AG218" s="4"/>
      <c r="AH218" s="4"/>
      <c r="AI218" s="10"/>
    </row>
    <row r="219" spans="1:35" x14ac:dyDescent="0.35">
      <c r="A219" s="34"/>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
      <c r="AF219" s="2"/>
      <c r="AG219" s="2"/>
      <c r="AH219" s="2"/>
      <c r="AI219" s="9"/>
    </row>
    <row r="220" spans="1:35" x14ac:dyDescent="0.35">
      <c r="A220" s="35"/>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4"/>
      <c r="AF220" s="4"/>
      <c r="AG220" s="4"/>
      <c r="AH220" s="4"/>
      <c r="AI220" s="10"/>
    </row>
    <row r="221" spans="1:35" x14ac:dyDescent="0.35">
      <c r="A221" s="34"/>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
      <c r="AF221" s="2"/>
      <c r="AG221" s="2"/>
      <c r="AH221" s="2"/>
      <c r="AI221" s="9"/>
    </row>
    <row r="222" spans="1:35" x14ac:dyDescent="0.35">
      <c r="A222" s="35"/>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4"/>
      <c r="AF222" s="4"/>
      <c r="AG222" s="4"/>
      <c r="AH222" s="4"/>
      <c r="AI222" s="10"/>
    </row>
    <row r="223" spans="1:35" x14ac:dyDescent="0.35">
      <c r="A223" s="34"/>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
      <c r="AF223" s="2"/>
      <c r="AG223" s="2"/>
      <c r="AH223" s="2"/>
      <c r="AI223" s="9"/>
    </row>
    <row r="224" spans="1:35" x14ac:dyDescent="0.35">
      <c r="A224" s="35"/>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4"/>
      <c r="AF224" s="4"/>
      <c r="AG224" s="4"/>
      <c r="AH224" s="4"/>
      <c r="AI224" s="10"/>
    </row>
    <row r="225" spans="1:35" x14ac:dyDescent="0.35">
      <c r="A225" s="34"/>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
      <c r="AF225" s="2"/>
      <c r="AG225" s="2"/>
      <c r="AH225" s="2"/>
      <c r="AI225" s="9"/>
    </row>
    <row r="226" spans="1:35" x14ac:dyDescent="0.35">
      <c r="A226" s="35"/>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4"/>
      <c r="AF226" s="4"/>
      <c r="AG226" s="4"/>
      <c r="AH226" s="4"/>
      <c r="AI226" s="10"/>
    </row>
    <row r="227" spans="1:35" x14ac:dyDescent="0.35">
      <c r="A227" s="34"/>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
      <c r="AF227" s="2"/>
      <c r="AG227" s="2"/>
      <c r="AH227" s="2"/>
      <c r="AI227" s="9"/>
    </row>
    <row r="228" spans="1:35" x14ac:dyDescent="0.35">
      <c r="A228" s="35"/>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4"/>
      <c r="AF228" s="4"/>
      <c r="AG228" s="4"/>
      <c r="AH228" s="4"/>
      <c r="AI228" s="10"/>
    </row>
    <row r="229" spans="1:35" x14ac:dyDescent="0.35">
      <c r="A229" s="34"/>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
      <c r="AF229" s="2"/>
      <c r="AG229" s="2"/>
      <c r="AH229" s="2"/>
      <c r="AI229" s="9"/>
    </row>
    <row r="230" spans="1:35" x14ac:dyDescent="0.35">
      <c r="A230" s="35"/>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4"/>
      <c r="AF230" s="4"/>
      <c r="AG230" s="4"/>
      <c r="AH230" s="4"/>
      <c r="AI230" s="10"/>
    </row>
    <row r="231" spans="1:35" x14ac:dyDescent="0.35">
      <c r="A231" s="34"/>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
      <c r="AF231" s="2"/>
      <c r="AG231" s="2"/>
      <c r="AH231" s="2"/>
      <c r="AI231" s="9"/>
    </row>
    <row r="232" spans="1:35" x14ac:dyDescent="0.35">
      <c r="A232" s="35"/>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4"/>
      <c r="AF232" s="4"/>
      <c r="AG232" s="4"/>
      <c r="AH232" s="4"/>
      <c r="AI232" s="10"/>
    </row>
    <row r="233" spans="1:35" x14ac:dyDescent="0.35">
      <c r="A233" s="34"/>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
      <c r="AF233" s="2"/>
      <c r="AG233" s="2"/>
      <c r="AH233" s="2"/>
      <c r="AI233" s="9"/>
    </row>
    <row r="234" spans="1:35" x14ac:dyDescent="0.35">
      <c r="A234" s="35"/>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4"/>
      <c r="AF234" s="4"/>
      <c r="AG234" s="4"/>
      <c r="AH234" s="4"/>
      <c r="AI234" s="10"/>
    </row>
    <row r="235" spans="1:35" x14ac:dyDescent="0.35">
      <c r="A235" s="34"/>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
      <c r="AF235" s="2"/>
      <c r="AG235" s="2"/>
      <c r="AH235" s="2"/>
      <c r="AI235" s="9"/>
    </row>
    <row r="236" spans="1:35" x14ac:dyDescent="0.35">
      <c r="A236" s="3"/>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10"/>
    </row>
    <row r="237" spans="1:35" x14ac:dyDescent="0.3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9"/>
    </row>
    <row r="238" spans="1:35" x14ac:dyDescent="0.35">
      <c r="A238" s="3"/>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10"/>
    </row>
    <row r="239" spans="1:35" x14ac:dyDescent="0.3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9"/>
    </row>
  </sheetData>
  <mergeCells count="1">
    <mergeCell ref="A1:K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DEPARTMENT AND GENDER</vt:lpstr>
      <vt:lpstr>ATTRITION AND DISTANCE</vt:lpstr>
      <vt:lpstr>Sheet1</vt:lpstr>
      <vt:lpstr>DASHBOARD </vt:lpstr>
      <vt:lpstr>AGE RANGE</vt:lpstr>
      <vt:lpstr>INCOME</vt:lpstr>
      <vt:lpstr>JOB SATISFACTION1</vt:lpstr>
      <vt:lpstr>ENVIRONMENTAL SATISFACTION</vt:lpstr>
      <vt:lpstr>WA_Fn-UseC_-HR-Employee-Attriti</vt:lpstr>
      <vt:lpstr>draft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NNAEMEKA IJEOMA</dc:creator>
  <cp:lastModifiedBy>NNAEMEKA IJEOMA</cp:lastModifiedBy>
  <dcterms:created xsi:type="dcterms:W3CDTF">2025-05-29T19:23:23Z</dcterms:created>
  <dcterms:modified xsi:type="dcterms:W3CDTF">2025-06-02T12:53:50Z</dcterms:modified>
</cp:coreProperties>
</file>